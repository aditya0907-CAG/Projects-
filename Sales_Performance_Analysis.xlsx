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ask 1\"/>
    </mc:Choice>
  </mc:AlternateContent>
  <xr:revisionPtr revIDLastSave="0" documentId="13_ncr:1_{0990A09B-E1D5-4923-9885-89378A49BE3F}" xr6:coauthVersionLast="47" xr6:coauthVersionMax="47" xr10:uidLastSave="{00000000-0000-0000-0000-000000000000}"/>
  <bookViews>
    <workbookView xWindow="-120" yWindow="-120" windowWidth="20640" windowHeight="11040" activeTab="3" xr2:uid="{00000000-000D-0000-FFFF-FFFF00000000}"/>
  </bookViews>
  <sheets>
    <sheet name="Raw_Data" sheetId="4" r:id="rId1"/>
    <sheet name="Monthly_Trend" sheetId="1" r:id="rId2"/>
    <sheet name="Pivot_Product" sheetId="2" r:id="rId3"/>
    <sheet name="Pivot_Region" sheetId="3" r:id="rId4"/>
  </sheets>
  <calcPr calcId="191029"/>
</workbook>
</file>

<file path=xl/calcChain.xml><?xml version="1.0" encoding="utf-8"?>
<calcChain xmlns="http://schemas.openxmlformats.org/spreadsheetml/2006/main">
  <c r="J201" i="4" l="1"/>
  <c r="I201" i="4"/>
  <c r="J200" i="4"/>
  <c r="I200" i="4"/>
  <c r="J199" i="4"/>
  <c r="I199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J165" i="4"/>
  <c r="I165" i="4"/>
  <c r="J164" i="4"/>
  <c r="I164" i="4"/>
  <c r="J163" i="4"/>
  <c r="I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D8" i="3"/>
  <c r="C8" i="3"/>
  <c r="E8" i="3" s="1"/>
  <c r="B8" i="3"/>
  <c r="E7" i="3"/>
  <c r="E6" i="3"/>
  <c r="E5" i="3"/>
  <c r="E4" i="3"/>
  <c r="E12" i="2"/>
  <c r="D12" i="2"/>
  <c r="C12" i="2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<sst xmlns="http://schemas.openxmlformats.org/spreadsheetml/2006/main" count="1062" uniqueCount="403">
  <si>
    <t>Monthly Sales Trend</t>
  </si>
  <si>
    <t>Month</t>
  </si>
  <si>
    <t>Total Sales</t>
  </si>
  <si>
    <t>Total Profit</t>
  </si>
  <si>
    <t>MoM Growth %</t>
  </si>
  <si>
    <t>2024-01</t>
  </si>
  <si>
    <t>-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</si>
  <si>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</si>
  <si>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</si>
  <si>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</si>
  <si>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</si>
  <si>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</si>
  <si>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</si>
  <si>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</si>
  <si>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</si>
  <si>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</si>
  <si>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</si>
  <si>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</si>
  <si>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Sales by Product</t>
  </si>
  <si>
    <t>Product</t>
  </si>
  <si>
    <t>Category</t>
  </si>
  <si>
    <t>Qty Sold</t>
  </si>
  <si>
    <t>Laptop</t>
  </si>
  <si>
    <t>Electronics</t>
  </si>
  <si>
    <t>Phone</t>
  </si>
  <si>
    <t>Monitor</t>
  </si>
  <si>
    <t>Tablet</t>
  </si>
  <si>
    <t>Printer</t>
  </si>
  <si>
    <t>Office</t>
  </si>
  <si>
    <t>Headphones</t>
  </si>
  <si>
    <t>Accessories</t>
  </si>
  <si>
    <t>Keyboard</t>
  </si>
  <si>
    <t>Mouse</t>
  </si>
  <si>
    <t>TOTAL</t>
  </si>
  <si>
    <t>Sales by Region</t>
  </si>
  <si>
    <t>Region</t>
  </si>
  <si>
    <t>Profit Margin %</t>
  </si>
  <si>
    <t>East</t>
  </si>
  <si>
    <t>North</t>
  </si>
  <si>
    <t>South</t>
  </si>
  <si>
    <t>West</t>
  </si>
  <si>
    <t>Order_ID</t>
  </si>
  <si>
    <t>Order_Date</t>
  </si>
  <si>
    <t>Sales_Amount</t>
  </si>
  <si>
    <t>Profit</t>
  </si>
  <si>
    <t>Quantity</t>
  </si>
  <si>
    <t>Total_Sales</t>
  </si>
  <si>
    <t>Profit_Margin_%</t>
  </si>
  <si>
    <t>ORD0001</t>
  </si>
  <si>
    <t>2024-11-23</t>
  </si>
  <si>
    <t>ORD0002</t>
  </si>
  <si>
    <t>2024-02-22</t>
  </si>
  <si>
    <t>ORD0003</t>
  </si>
  <si>
    <t>2024-04-29</t>
  </si>
  <si>
    <t>ORD0004</t>
  </si>
  <si>
    <t>2024-04-22</t>
  </si>
  <si>
    <t>ORD0005</t>
  </si>
  <si>
    <t>2024-12-23</t>
  </si>
  <si>
    <t>ORD0006</t>
  </si>
  <si>
    <t>ORD0007</t>
  </si>
  <si>
    <t>2024-01-23</t>
  </si>
  <si>
    <t>ORD0008</t>
  </si>
  <si>
    <t>2024-10-09</t>
  </si>
  <si>
    <t>ORD0009</t>
  </si>
  <si>
    <t>2024-12-26</t>
  </si>
  <si>
    <t>ORD0010</t>
  </si>
  <si>
    <t>ORD0011</t>
  </si>
  <si>
    <t>2024-03-24</t>
  </si>
  <si>
    <t>ORD0012</t>
  </si>
  <si>
    <t>2024-11-07</t>
  </si>
  <si>
    <t>ORD0013</t>
  </si>
  <si>
    <t>2024-05-18</t>
  </si>
  <si>
    <t>ORD0014</t>
  </si>
  <si>
    <t>2024-01-17</t>
  </si>
  <si>
    <t>ORD0015</t>
  </si>
  <si>
    <t>2024-04-18</t>
  </si>
  <si>
    <t>ORD0016</t>
  </si>
  <si>
    <t>2024-05-15</t>
  </si>
  <si>
    <t>ORD0017</t>
  </si>
  <si>
    <t>2024-10-25</t>
  </si>
  <si>
    <t>ORD0018</t>
  </si>
  <si>
    <t>2024-02-16</t>
  </si>
  <si>
    <t>ORD0019</t>
  </si>
  <si>
    <t>2024-11-01</t>
  </si>
  <si>
    <t>ORD0020</t>
  </si>
  <si>
    <t>2024-10-10</t>
  </si>
  <si>
    <t>ORD0021</t>
  </si>
  <si>
    <t>2024-11-24</t>
  </si>
  <si>
    <t>ORD0022</t>
  </si>
  <si>
    <t>2024-05-14</t>
  </si>
  <si>
    <t>ORD0023</t>
  </si>
  <si>
    <t>ORD0024</t>
  </si>
  <si>
    <t>2024-11-02</t>
  </si>
  <si>
    <t>ORD0025</t>
  </si>
  <si>
    <t>2024-05-02</t>
  </si>
  <si>
    <t>ORD0026</t>
  </si>
  <si>
    <t>2024-09-05</t>
  </si>
  <si>
    <t>ORD0027</t>
  </si>
  <si>
    <t>2024-10-08</t>
  </si>
  <si>
    <t>ORD0028</t>
  </si>
  <si>
    <t>2024-10-03</t>
  </si>
  <si>
    <t>ORD0029</t>
  </si>
  <si>
    <t>2024-08-12</t>
  </si>
  <si>
    <t>ORD0030</t>
  </si>
  <si>
    <t>2024-10-28</t>
  </si>
  <si>
    <t>ORD0031</t>
  </si>
  <si>
    <t>2024-04-27</t>
  </si>
  <si>
    <t>ORD0032</t>
  </si>
  <si>
    <t>2024-05-22</t>
  </si>
  <si>
    <t>ORD0033</t>
  </si>
  <si>
    <t>2024-05-04</t>
  </si>
  <si>
    <t>ORD0034</t>
  </si>
  <si>
    <t>2024-06-30</t>
  </si>
  <si>
    <t>ORD0035</t>
  </si>
  <si>
    <t>2024-02-01</t>
  </si>
  <si>
    <t>ORD0036</t>
  </si>
  <si>
    <t>2024-04-07</t>
  </si>
  <si>
    <t>ORD0037</t>
  </si>
  <si>
    <t>2024-02-08</t>
  </si>
  <si>
    <t>ORD0038</t>
  </si>
  <si>
    <t>2024-02-17</t>
  </si>
  <si>
    <t>ORD0039</t>
  </si>
  <si>
    <t>2024-01-31</t>
  </si>
  <si>
    <t>ORD0040</t>
  </si>
  <si>
    <t>2024-05-26</t>
  </si>
  <si>
    <t>ORD0041</t>
  </si>
  <si>
    <t>2024-05-31</t>
  </si>
  <si>
    <t>ORD0042</t>
  </si>
  <si>
    <t>2024-01-30</t>
  </si>
  <si>
    <t>ORD0043</t>
  </si>
  <si>
    <t>ORD0044</t>
  </si>
  <si>
    <t>2024-07-25</t>
  </si>
  <si>
    <t>ORD0045</t>
  </si>
  <si>
    <t>2024-08-02</t>
  </si>
  <si>
    <t>ORD0046</t>
  </si>
  <si>
    <t>ORD0047</t>
  </si>
  <si>
    <t>2024-02-07</t>
  </si>
  <si>
    <t>ORD0048</t>
  </si>
  <si>
    <t>ORD0049</t>
  </si>
  <si>
    <t>2024-05-05</t>
  </si>
  <si>
    <t>ORD0050</t>
  </si>
  <si>
    <t>2024-11-09</t>
  </si>
  <si>
    <t>ORD0051</t>
  </si>
  <si>
    <t>ORD0052</t>
  </si>
  <si>
    <t>2024-11-05</t>
  </si>
  <si>
    <t>ORD0053</t>
  </si>
  <si>
    <t>2024-09-15</t>
  </si>
  <si>
    <t>ORD0054</t>
  </si>
  <si>
    <t>2024-11-20</t>
  </si>
  <si>
    <t>ORD0055</t>
  </si>
  <si>
    <t>2024-11-22</t>
  </si>
  <si>
    <t>ORD0056</t>
  </si>
  <si>
    <t>2024-10-14</t>
  </si>
  <si>
    <t>ORD0057</t>
  </si>
  <si>
    <t>2024-10-06</t>
  </si>
  <si>
    <t>ORD0058</t>
  </si>
  <si>
    <t>2024-01-22</t>
  </si>
  <si>
    <t>ORD0059</t>
  </si>
  <si>
    <t>2024-07-02</t>
  </si>
  <si>
    <t>ORD0060</t>
  </si>
  <si>
    <t>2024-11-13</t>
  </si>
  <si>
    <t>ORD0061</t>
  </si>
  <si>
    <t>2024-07-30</t>
  </si>
  <si>
    <t>ORD0062</t>
  </si>
  <si>
    <t>2024-12-08</t>
  </si>
  <si>
    <t>ORD0063</t>
  </si>
  <si>
    <t>2024-01-20</t>
  </si>
  <si>
    <t>ORD0064</t>
  </si>
  <si>
    <t>2024-06-05</t>
  </si>
  <si>
    <t>ORD0065</t>
  </si>
  <si>
    <t>ORD0066</t>
  </si>
  <si>
    <t>2024-01-15</t>
  </si>
  <si>
    <t>ORD0067</t>
  </si>
  <si>
    <t>ORD0068</t>
  </si>
  <si>
    <t>2024-08-11</t>
  </si>
  <si>
    <t>ORD0069</t>
  </si>
  <si>
    <t>2024-12-28</t>
  </si>
  <si>
    <t>ORD0070</t>
  </si>
  <si>
    <t>2024-07-05</t>
  </si>
  <si>
    <t>ORD0071</t>
  </si>
  <si>
    <t>2024-12-05</t>
  </si>
  <si>
    <t>ORD0072</t>
  </si>
  <si>
    <t>ORD0073</t>
  </si>
  <si>
    <t>2024-12-12</t>
  </si>
  <si>
    <t>ORD0074</t>
  </si>
  <si>
    <t>2024-06-04</t>
  </si>
  <si>
    <t>ORD0075</t>
  </si>
  <si>
    <t>2024-08-26</t>
  </si>
  <si>
    <t>ORD0076</t>
  </si>
  <si>
    <t>2024-12-03</t>
  </si>
  <si>
    <t>ORD0077</t>
  </si>
  <si>
    <t>ORD0078</t>
  </si>
  <si>
    <t>2024-01-24</t>
  </si>
  <si>
    <t>ORD0079</t>
  </si>
  <si>
    <t>2024-07-31</t>
  </si>
  <si>
    <t>ORD0080</t>
  </si>
  <si>
    <t>2024-02-24</t>
  </si>
  <si>
    <t>ORD0081</t>
  </si>
  <si>
    <t>2024-01-26</t>
  </si>
  <si>
    <t>ORD0082</t>
  </si>
  <si>
    <t>2024-08-14</t>
  </si>
  <si>
    <t>ORD0083</t>
  </si>
  <si>
    <t>2024-08-18</t>
  </si>
  <si>
    <t>ORD0084</t>
  </si>
  <si>
    <t>2024-11-16</t>
  </si>
  <si>
    <t>ORD0085</t>
  </si>
  <si>
    <t>2024-05-19</t>
  </si>
  <si>
    <t>ORD0086</t>
  </si>
  <si>
    <t>2024-04-28</t>
  </si>
  <si>
    <t>ORD0087</t>
  </si>
  <si>
    <t>2024-06-18</t>
  </si>
  <si>
    <t>ORD0088</t>
  </si>
  <si>
    <t>2024-10-26</t>
  </si>
  <si>
    <t>ORD0089</t>
  </si>
  <si>
    <t>2024-06-01</t>
  </si>
  <si>
    <t>ORD0090</t>
  </si>
  <si>
    <t>2024-09-06</t>
  </si>
  <si>
    <t>ORD0091</t>
  </si>
  <si>
    <t>ORD0092</t>
  </si>
  <si>
    <t>2024-07-20</t>
  </si>
  <si>
    <t>ORD0093</t>
  </si>
  <si>
    <t>2024-04-03</t>
  </si>
  <si>
    <t>ORD0094</t>
  </si>
  <si>
    <t>2024-06-21</t>
  </si>
  <si>
    <t>ORD0095</t>
  </si>
  <si>
    <t>2024-02-11</t>
  </si>
  <si>
    <t>ORD0096</t>
  </si>
  <si>
    <t>2024-04-24</t>
  </si>
  <si>
    <t>ORD0097</t>
  </si>
  <si>
    <t>2024-01-11</t>
  </si>
  <si>
    <t>ORD0098</t>
  </si>
  <si>
    <t>ORD0099</t>
  </si>
  <si>
    <t>ORD0100</t>
  </si>
  <si>
    <t>2024-07-22</t>
  </si>
  <si>
    <t>ORD0101</t>
  </si>
  <si>
    <t>ORD0102</t>
  </si>
  <si>
    <t>2024-06-26</t>
  </si>
  <si>
    <t>ORD0103</t>
  </si>
  <si>
    <t>2024-08-03</t>
  </si>
  <si>
    <t>ORD0104</t>
  </si>
  <si>
    <t>ORD0105</t>
  </si>
  <si>
    <t>2024-11-11</t>
  </si>
  <si>
    <t>ORD0106</t>
  </si>
  <si>
    <t>2024-06-14</t>
  </si>
  <si>
    <t>ORD0107</t>
  </si>
  <si>
    <t>2024-10-18</t>
  </si>
  <si>
    <t>ORD0108</t>
  </si>
  <si>
    <t>ORD0109</t>
  </si>
  <si>
    <t>2024-10-11</t>
  </si>
  <si>
    <t>ORD0110</t>
  </si>
  <si>
    <t>2024-09-07</t>
  </si>
  <si>
    <t>ORD0111</t>
  </si>
  <si>
    <t>ORD0112</t>
  </si>
  <si>
    <t>2024-08-30</t>
  </si>
  <si>
    <t>ORD0113</t>
  </si>
  <si>
    <t>2024-12-25</t>
  </si>
  <si>
    <t>ORD0114</t>
  </si>
  <si>
    <t>2024-06-10</t>
  </si>
  <si>
    <t>ORD0115</t>
  </si>
  <si>
    <t>2024-04-20</t>
  </si>
  <si>
    <t>ORD0116</t>
  </si>
  <si>
    <t>2024-02-21</t>
  </si>
  <si>
    <t>ORD0117</t>
  </si>
  <si>
    <t>ORD0118</t>
  </si>
  <si>
    <t>ORD0119</t>
  </si>
  <si>
    <t>2024-08-28</t>
  </si>
  <si>
    <t>ORD0120</t>
  </si>
  <si>
    <t>2024-09-01</t>
  </si>
  <si>
    <t>ORD0121</t>
  </si>
  <si>
    <t>2024-03-18</t>
  </si>
  <si>
    <t>ORD0122</t>
  </si>
  <si>
    <t>2024-03-01</t>
  </si>
  <si>
    <t>ORD0123</t>
  </si>
  <si>
    <t>ORD0124</t>
  </si>
  <si>
    <t>ORD0125</t>
  </si>
  <si>
    <t>ORD0126</t>
  </si>
  <si>
    <t>ORD0127</t>
  </si>
  <si>
    <t>2024-05-29</t>
  </si>
  <si>
    <t>ORD0128</t>
  </si>
  <si>
    <t>2024-02-06</t>
  </si>
  <si>
    <t>ORD0129</t>
  </si>
  <si>
    <t>2024-08-05</t>
  </si>
  <si>
    <t>ORD0130</t>
  </si>
  <si>
    <t>2024-03-13</t>
  </si>
  <si>
    <t>ORD0131</t>
  </si>
  <si>
    <t>ORD0132</t>
  </si>
  <si>
    <t>2024-09-13</t>
  </si>
  <si>
    <t>ORD0133</t>
  </si>
  <si>
    <t>ORD0134</t>
  </si>
  <si>
    <t>2024-12-10</t>
  </si>
  <si>
    <t>ORD0135</t>
  </si>
  <si>
    <t>2024-09-22</t>
  </si>
  <si>
    <t>ORD0136</t>
  </si>
  <si>
    <t>ORD0137</t>
  </si>
  <si>
    <t>2024-03-23</t>
  </si>
  <si>
    <t>ORD0138</t>
  </si>
  <si>
    <t>ORD0139</t>
  </si>
  <si>
    <t>ORD0140</t>
  </si>
  <si>
    <t>2024-11-14</t>
  </si>
  <si>
    <t>ORD0141</t>
  </si>
  <si>
    <t>2024-05-27</t>
  </si>
  <si>
    <t>ORD0142</t>
  </si>
  <si>
    <t>2024-12-29</t>
  </si>
  <si>
    <t>ORD0143</t>
  </si>
  <si>
    <t>2024-04-25</t>
  </si>
  <si>
    <t>ORD0144</t>
  </si>
  <si>
    <t>2024-09-12</t>
  </si>
  <si>
    <t>ORD0145</t>
  </si>
  <si>
    <t>2024-08-29</t>
  </si>
  <si>
    <t>ORD0146</t>
  </si>
  <si>
    <t>2024-02-05</t>
  </si>
  <si>
    <t>ORD0147</t>
  </si>
  <si>
    <t>2024-01-02</t>
  </si>
  <si>
    <t>ORD0148</t>
  </si>
  <si>
    <t>2024-03-17</t>
  </si>
  <si>
    <t>ORD0149</t>
  </si>
  <si>
    <t>2024-08-21</t>
  </si>
  <si>
    <t>ORD0150</t>
  </si>
  <si>
    <t>ORD0151</t>
  </si>
  <si>
    <t>2024-07-16</t>
  </si>
  <si>
    <t>ORD0152</t>
  </si>
  <si>
    <t>ORD0153</t>
  </si>
  <si>
    <t>2024-07-28</t>
  </si>
  <si>
    <t>ORD0154</t>
  </si>
  <si>
    <t>2024-11-15</t>
  </si>
  <si>
    <t>ORD0155</t>
  </si>
  <si>
    <t>2024-06-11</t>
  </si>
  <si>
    <t>ORD0156</t>
  </si>
  <si>
    <t>2024-04-26</t>
  </si>
  <si>
    <t>ORD0157</t>
  </si>
  <si>
    <t>2024-08-15</t>
  </si>
  <si>
    <t>ORD0158</t>
  </si>
  <si>
    <t>2024-05-30</t>
  </si>
  <si>
    <t>ORD0159</t>
  </si>
  <si>
    <t>2024-10-16</t>
  </si>
  <si>
    <t>ORD0160</t>
  </si>
  <si>
    <t>ORD0161</t>
  </si>
  <si>
    <t>ORD0162</t>
  </si>
  <si>
    <t>ORD0163</t>
  </si>
  <si>
    <t>ORD0164</t>
  </si>
  <si>
    <t>2024-09-04</t>
  </si>
  <si>
    <t>ORD0165</t>
  </si>
  <si>
    <t>2024-12-24</t>
  </si>
  <si>
    <t>ORD0166</t>
  </si>
  <si>
    <t>2024-01-05</t>
  </si>
  <si>
    <t>ORD0167</t>
  </si>
  <si>
    <t>ORD0168</t>
  </si>
  <si>
    <t>2024-11-17</t>
  </si>
  <si>
    <t>ORD0169</t>
  </si>
  <si>
    <t>2024-03-08</t>
  </si>
  <si>
    <t>ORD0170</t>
  </si>
  <si>
    <t>ORD0171</t>
  </si>
  <si>
    <t>2024-05-11</t>
  </si>
  <si>
    <t>ORD0172</t>
  </si>
  <si>
    <t>2024-08-27</t>
  </si>
  <si>
    <t>ORD0173</t>
  </si>
  <si>
    <t>2024-10-12</t>
  </si>
  <si>
    <t>ORD0174</t>
  </si>
  <si>
    <t>2024-08-20</t>
  </si>
  <si>
    <t>ORD0175</t>
  </si>
  <si>
    <t>2024-02-25</t>
  </si>
  <si>
    <t>ORD0176</t>
  </si>
  <si>
    <t>2024-11-08</t>
  </si>
  <si>
    <t>ORD0177</t>
  </si>
  <si>
    <t>2024-11-28</t>
  </si>
  <si>
    <t>ORD0178</t>
  </si>
  <si>
    <t>2024-09-09</t>
  </si>
  <si>
    <t>ORD0179</t>
  </si>
  <si>
    <t>ORD0180</t>
  </si>
  <si>
    <t>ORD0181</t>
  </si>
  <si>
    <t>ORD0182</t>
  </si>
  <si>
    <t>2024-02-20</t>
  </si>
  <si>
    <t>ORD0183</t>
  </si>
  <si>
    <t>ORD0184</t>
  </si>
  <si>
    <t>ORD0185</t>
  </si>
  <si>
    <t>ORD0186</t>
  </si>
  <si>
    <t>2024-10-27</t>
  </si>
  <si>
    <t>ORD0187</t>
  </si>
  <si>
    <t>2024-05-21</t>
  </si>
  <si>
    <t>ORD0188</t>
  </si>
  <si>
    <t>2024-12-04</t>
  </si>
  <si>
    <t>ORD0189</t>
  </si>
  <si>
    <t>ORD0190</t>
  </si>
  <si>
    <t>2024-09-26</t>
  </si>
  <si>
    <t>ORD0191</t>
  </si>
  <si>
    <t>2024-08-19</t>
  </si>
  <si>
    <t>ORD0192</t>
  </si>
  <si>
    <t>2024-08-22</t>
  </si>
  <si>
    <t>ORD0193</t>
  </si>
  <si>
    <t>2024-12-17</t>
  </si>
  <si>
    <t>ORD0194</t>
  </si>
  <si>
    <t>2024-06-13</t>
  </si>
  <si>
    <t>ORD0195</t>
  </si>
  <si>
    <t>2024-07-14</t>
  </si>
  <si>
    <t>ORD0196</t>
  </si>
  <si>
    <t>2024-12-01</t>
  </si>
  <si>
    <t>ORD0197</t>
  </si>
  <si>
    <t>ORD0198</t>
  </si>
  <si>
    <t>2024-12-06</t>
  </si>
  <si>
    <t>ORD0199</t>
  </si>
  <si>
    <t>2024-02-04</t>
  </si>
  <si>
    <t>ORD0200</t>
  </si>
  <si>
    <t>2024-03-07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</si>
</sst>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000000"/>
      <name val="Arial"/>
    </font>
    <font>
      <b/>
      <sz val="14"/>
      <color rgb="FF1F4E79"/>
      <name val="Arial"/>
    </font>
    <font>
      <b/>
      <sz val="14"/>
      <color rgb="FFFFFFFF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18"/>
      <color rgb="FF1F4E79"/>
      <name val="Arial"/>
      <family val="2"/>
    </font>
    <font>
      <sz val="18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4" fontId="2" fillId="3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/>
    <xf numFmtId="2" fontId="3" fillId="3" borderId="1" xfId="0" applyNumberFormat="1" applyFont="1" applyFill="1" applyBorder="1"/>
    <xf numFmtId="4" fontId="2" fillId="0" borderId="1" xfId="0" applyNumberFormat="1" applyFont="1" applyBorder="1" applyAlignment="1">
      <alignment horizontal="right"/>
    </xf>
    <xf numFmtId="4" fontId="3" fillId="0" borderId="1" xfId="0" applyNumberFormat="1" applyFont="1" applyBorder="1"/>
    <xf numFmtId="2" fontId="3" fillId="0" borderId="1" xfId="0" applyNumberFormat="1" applyFont="1" applyBorder="1"/>
    <xf numFmtId="0" fontId="4" fillId="0" borderId="0" xfId="0" applyFont="1" applyAlignment="1">
      <alignment horizontal="center"/>
    </xf>
    <xf numFmtId="0" fontId="0" fillId="0" borderId="0" xfId="0"/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" fontId="6" fillId="5" borderId="1" xfId="0" applyNumberFormat="1" applyFont="1" applyFill="1" applyBorder="1" applyAlignment="1">
      <alignment horizontal="right"/>
    </xf>
    <xf numFmtId="0" fontId="7" fillId="0" borderId="1" xfId="0" applyFont="1" applyBorder="1"/>
    <xf numFmtId="2" fontId="6" fillId="5" borderId="1" xfId="0" applyNumberFormat="1" applyFont="1" applyFill="1" applyBorder="1" applyAlignment="1">
      <alignment horizontal="right"/>
    </xf>
    <xf numFmtId="0" fontId="8" fillId="0" borderId="1" xfId="0" applyFont="1" applyBorder="1"/>
    <xf numFmtId="0" fontId="6" fillId="0" borderId="1" xfId="0" applyFont="1" applyBorder="1"/>
    <xf numFmtId="3" fontId="6" fillId="5" borderId="1" xfId="0" applyNumberFormat="1" applyFont="1" applyFill="1" applyBorder="1" applyAlignment="1">
      <alignment horizontal="right"/>
    </xf>
    <xf numFmtId="0" fontId="8" fillId="6" borderId="1" xfId="0" applyFont="1" applyFill="1" applyBorder="1"/>
    <xf numFmtId="4" fontId="8" fillId="6" borderId="1" xfId="0" applyNumberFormat="1" applyFont="1" applyFill="1" applyBorder="1" applyAlignment="1">
      <alignment horizontal="right"/>
    </xf>
    <xf numFmtId="3" fontId="8" fillId="6" borderId="1" xfId="0" applyNumberFormat="1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/>
    <xf numFmtId="0" fontId="11" fillId="4" borderId="1" xfId="0" applyFont="1" applyFill="1" applyBorder="1" applyAlignment="1">
      <alignment horizontal="center"/>
    </xf>
    <xf numFmtId="0" fontId="12" fillId="0" borderId="1" xfId="0" applyFont="1" applyBorder="1"/>
    <xf numFmtId="4" fontId="10" fillId="5" borderId="1" xfId="0" applyNumberFormat="1" applyFont="1" applyFill="1" applyBorder="1" applyAlignment="1">
      <alignment horizontal="right"/>
    </xf>
    <xf numFmtId="3" fontId="10" fillId="5" borderId="1" xfId="0" applyNumberFormat="1" applyFont="1" applyFill="1" applyBorder="1" applyAlignment="1">
      <alignment horizontal="right"/>
    </xf>
    <xf numFmtId="2" fontId="13" fillId="5" borderId="1" xfId="0" applyNumberFormat="1" applyFont="1" applyFill="1" applyBorder="1" applyAlignment="1">
      <alignment horizontal="right"/>
    </xf>
    <xf numFmtId="0" fontId="12" fillId="6" borderId="1" xfId="0" applyFont="1" applyFill="1" applyBorder="1"/>
    <xf numFmtId="4" fontId="12" fillId="6" borderId="1" xfId="0" applyNumberFormat="1" applyFont="1" applyFill="1" applyBorder="1" applyAlignment="1">
      <alignment horizontal="right"/>
    </xf>
    <xf numFmtId="2" fontId="12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 (2024)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Monthly_Trend!$B$3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Monthly_Trend!$A$4:$A$15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Monthly_Trend!$B$4:$B$15</c:f>
              <c:numCache>
                <c:formatCode>#,##0.00</c:formatCode>
                <c:ptCount val="12"/>
                <c:pt idx="0">
                  <c:v>2848809.75</c:v>
                </c:pt>
                <c:pt idx="1">
                  <c:v>2694859.32</c:v>
                </c:pt>
                <c:pt idx="2">
                  <c:v>1541952.15</c:v>
                </c:pt>
                <c:pt idx="3">
                  <c:v>2363676.73</c:v>
                </c:pt>
                <c:pt idx="4">
                  <c:v>2216284.48</c:v>
                </c:pt>
                <c:pt idx="5">
                  <c:v>895644.35</c:v>
                </c:pt>
                <c:pt idx="6">
                  <c:v>2262367.33</c:v>
                </c:pt>
                <c:pt idx="7">
                  <c:v>2125692.75</c:v>
                </c:pt>
                <c:pt idx="8">
                  <c:v>1395742.97</c:v>
                </c:pt>
                <c:pt idx="9">
                  <c:v>4323289.7699999996</c:v>
                </c:pt>
                <c:pt idx="10">
                  <c:v>2284094.1</c:v>
                </c:pt>
                <c:pt idx="11">
                  <c:v>2124610.67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88-4B09-B824-8EF94BEDFBDA}"/>
            </c:ext>
          </c:extLst>
        </c:ser>
        <c:ser>
          <c:idx val="1"/>
          <c:order val="1"/>
          <c:tx>
            <c:strRef>
              <c:f>Monthly_Trend!$C$3</c:f>
              <c:strCache>
                <c:ptCount val="1"/>
                <c:pt idx="0">
                  <c:v>Total 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Monthly_Trend!$A$4:$A$15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Monthly_Trend!$C$4:$C$15</c:f>
              <c:numCache>
                <c:formatCode>#,##0.00</c:formatCode>
                <c:ptCount val="12"/>
                <c:pt idx="0">
                  <c:v>816640.14</c:v>
                </c:pt>
                <c:pt idx="1">
                  <c:v>763059.48</c:v>
                </c:pt>
                <c:pt idx="2">
                  <c:v>391500.03</c:v>
                </c:pt>
                <c:pt idx="3">
                  <c:v>661176.35</c:v>
                </c:pt>
                <c:pt idx="4">
                  <c:v>629330.87</c:v>
                </c:pt>
                <c:pt idx="5">
                  <c:v>278256.64000000001</c:v>
                </c:pt>
                <c:pt idx="6">
                  <c:v>580786.73</c:v>
                </c:pt>
                <c:pt idx="7">
                  <c:v>605184.1</c:v>
                </c:pt>
                <c:pt idx="8">
                  <c:v>383967.35</c:v>
                </c:pt>
                <c:pt idx="9">
                  <c:v>1048132.85</c:v>
                </c:pt>
                <c:pt idx="10">
                  <c:v>645203.57999999996</c:v>
                </c:pt>
                <c:pt idx="11">
                  <c:v>593742.03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88-4B09-B824-8EF94BEDF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(INR)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Products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Pivot_Product!$C$3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Pivot_Product!$A$4:$A$11</c:f>
              <c:strCache>
                <c:ptCount val="8"/>
                <c:pt idx="0">
                  <c:v>Laptop</c:v>
                </c:pt>
                <c:pt idx="1">
                  <c:v>Phone</c:v>
                </c:pt>
                <c:pt idx="2">
                  <c:v>Monitor</c:v>
                </c:pt>
                <c:pt idx="3">
                  <c:v>Tablet</c:v>
                </c:pt>
                <c:pt idx="4">
                  <c:v>Printer</c:v>
                </c:pt>
                <c:pt idx="5">
                  <c:v>Headphones</c:v>
                </c:pt>
                <c:pt idx="6">
                  <c:v>Keyboard</c:v>
                </c:pt>
                <c:pt idx="7">
                  <c:v>Mouse</c:v>
                </c:pt>
              </c:strCache>
            </c:strRef>
          </c:cat>
          <c:val>
            <c:numRef>
              <c:f>Pivot_Product!$C$4:$C$11</c:f>
              <c:numCache>
                <c:formatCode>#,##0.00</c:formatCode>
                <c:ptCount val="8"/>
                <c:pt idx="0">
                  <c:v>10296776.810000001</c:v>
                </c:pt>
                <c:pt idx="1">
                  <c:v>6247030.8499999996</c:v>
                </c:pt>
                <c:pt idx="2">
                  <c:v>3531940.44</c:v>
                </c:pt>
                <c:pt idx="3">
                  <c:v>3060493.52</c:v>
                </c:pt>
                <c:pt idx="4">
                  <c:v>2972515.95</c:v>
                </c:pt>
                <c:pt idx="5">
                  <c:v>572290.97</c:v>
                </c:pt>
                <c:pt idx="6">
                  <c:v>236440.76</c:v>
                </c:pt>
                <c:pt idx="7">
                  <c:v>159535.07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9-4BD5-97B9-11F831506B20}"/>
            </c:ext>
          </c:extLst>
        </c:ser>
        <c:ser>
          <c:idx val="1"/>
          <c:order val="1"/>
          <c:tx>
            <c:strRef>
              <c:f>Pivot_Product!$D$3</c:f>
              <c:strCache>
                <c:ptCount val="1"/>
                <c:pt idx="0">
                  <c:v>Total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Pivot_Product!$A$4:$A$11</c:f>
              <c:strCache>
                <c:ptCount val="8"/>
                <c:pt idx="0">
                  <c:v>Laptop</c:v>
                </c:pt>
                <c:pt idx="1">
                  <c:v>Phone</c:v>
                </c:pt>
                <c:pt idx="2">
                  <c:v>Monitor</c:v>
                </c:pt>
                <c:pt idx="3">
                  <c:v>Tablet</c:v>
                </c:pt>
                <c:pt idx="4">
                  <c:v>Printer</c:v>
                </c:pt>
                <c:pt idx="5">
                  <c:v>Headphones</c:v>
                </c:pt>
                <c:pt idx="6">
                  <c:v>Keyboard</c:v>
                </c:pt>
                <c:pt idx="7">
                  <c:v>Mouse</c:v>
                </c:pt>
              </c:strCache>
            </c:strRef>
          </c:cat>
          <c:val>
            <c:numRef>
              <c:f>Pivot_Product!$D$4:$D$11</c:f>
              <c:numCache>
                <c:formatCode>#,##0.00</c:formatCode>
                <c:ptCount val="8"/>
                <c:pt idx="0">
                  <c:v>2545208.83</c:v>
                </c:pt>
                <c:pt idx="1">
                  <c:v>1700519.73</c:v>
                </c:pt>
                <c:pt idx="2">
                  <c:v>1003012.44</c:v>
                </c:pt>
                <c:pt idx="3">
                  <c:v>800305.61</c:v>
                </c:pt>
                <c:pt idx="4">
                  <c:v>976929.27</c:v>
                </c:pt>
                <c:pt idx="5">
                  <c:v>220737.43</c:v>
                </c:pt>
                <c:pt idx="6">
                  <c:v>89874.86</c:v>
                </c:pt>
                <c:pt idx="7">
                  <c:v>60391.98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C9-4BD5-97B9-11F831506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&amp; Profit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Pivot_Region!$A$4:$A$7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Pivot_Region!$B$4:$B$7</c:f>
              <c:numCache>
                <c:formatCode>#,##0.00</c:formatCode>
                <c:ptCount val="4"/>
                <c:pt idx="0">
                  <c:v>8934192.6500000004</c:v>
                </c:pt>
                <c:pt idx="1">
                  <c:v>6019208.6399999997</c:v>
                </c:pt>
                <c:pt idx="2">
                  <c:v>7008643.7999999998</c:v>
                </c:pt>
                <c:pt idx="3">
                  <c:v>5114979.28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3-476F-AA5C-384C7A7F6ABC}"/>
            </c:ext>
          </c:extLst>
        </c:ser>
        <c:ser>
          <c:idx val="1"/>
          <c:order val="1"/>
          <c:tx>
            <c:strRef>
              <c:f>Pivot_Region!$C$3</c:f>
              <c:strCache>
                <c:ptCount val="1"/>
                <c:pt idx="0">
                  <c:v>Total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Pivot_Region!$A$4:$A$7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Pivot_Region!$C$4:$C$7</c:f>
              <c:numCache>
                <c:formatCode>#,##0.00</c:formatCode>
                <c:ptCount val="4"/>
                <c:pt idx="0">
                  <c:v>2468893.59</c:v>
                </c:pt>
                <c:pt idx="1">
                  <c:v>1633992.34</c:v>
                </c:pt>
                <c:pt idx="2">
                  <c:v>1905771.75</c:v>
                </c:pt>
                <c:pt idx="3">
                  <c:v>1388322.47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3-476F-AA5C-384C7A7F6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(INR)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8" customWidth="1"/>
    <col min="4" max="5" width="12" customWidth="1"/>
    <col min="6" max="6" width="14" customWidth="1"/>
    <col min="7" max="7" width="12" customWidth="1"/>
    <col min="8" max="8" width="10" customWidth="1"/>
    <col min="9" max="9" width="14" customWidth="1"/>
    <col min="10" max="10" width="16" customWidth="1"/>
  </cols>
  <sheetData>
    <row r="1" spans="1:10" ht="20.100000000000001" customHeight="1" x14ac:dyDescent="0.25">
      <c r="A1" s="2" t="s">
        <v>41</v>
      </c>
      <c r="B1" s="2" t="s">
        <v>42</v>
      </c>
      <c r="C1" s="2" t="s">
        <v>35</v>
      </c>
      <c r="D1" s="2" t="s">
        <v>19</v>
      </c>
      <c r="E1" s="2" t="s">
        <v>20</v>
      </c>
      <c r="F1" s="2" t="s">
        <v>43</v>
      </c>
      <c r="G1" s="2" t="s">
        <v>44</v>
      </c>
      <c r="H1" s="2" t="s">
        <v>45</v>
      </c>
      <c r="I1" s="3" t="s">
        <v>46</v>
      </c>
      <c r="J1" s="3" t="s">
        <v>47</v>
      </c>
    </row>
    <row r="2" spans="1:10" x14ac:dyDescent="0.25">
      <c r="A2" s="4" t="s">
        <v>48</v>
      </c>
      <c r="B2" s="4" t="s">
        <v>49</v>
      </c>
      <c r="C2" s="4" t="s">
        <v>39</v>
      </c>
      <c r="D2" s="4" t="s">
        <v>24</v>
      </c>
      <c r="E2" s="4" t="s">
        <v>23</v>
      </c>
      <c r="F2" s="5">
        <v>36690.85</v>
      </c>
      <c r="G2" s="5">
        <v>8989.7800000000007</v>
      </c>
      <c r="H2" s="4">
        <v>1</v>
      </c>
      <c r="I2" s="6">
        <f t="shared" ref="I2:I33" si="0">F2*H2</f>
        <v>36690.85</v>
      </c>
      <c r="J2" s="7">
        <f t="shared" ref="J2:J33" si="1">IF(F2=0,0,G2/F2*100)</f>
        <v>24.501422016660833</v>
      </c>
    </row>
    <row r="3" spans="1:10" x14ac:dyDescent="0.25">
      <c r="A3" s="1" t="s">
        <v>50</v>
      </c>
      <c r="B3" s="1" t="s">
        <v>51</v>
      </c>
      <c r="C3" s="1" t="s">
        <v>39</v>
      </c>
      <c r="D3" s="1" t="s">
        <v>24</v>
      </c>
      <c r="E3" s="1" t="s">
        <v>23</v>
      </c>
      <c r="F3" s="8">
        <v>344534.53</v>
      </c>
      <c r="G3" s="8">
        <v>85595.94</v>
      </c>
      <c r="H3" s="1">
        <v>10</v>
      </c>
      <c r="I3" s="9">
        <f t="shared" si="0"/>
        <v>3445345.3000000003</v>
      </c>
      <c r="J3" s="10">
        <f t="shared" si="1"/>
        <v>24.843936542441767</v>
      </c>
    </row>
    <row r="4" spans="1:10" x14ac:dyDescent="0.25">
      <c r="A4" s="4" t="s">
        <v>52</v>
      </c>
      <c r="B4" s="4" t="s">
        <v>53</v>
      </c>
      <c r="C4" s="4" t="s">
        <v>40</v>
      </c>
      <c r="D4" s="4" t="s">
        <v>22</v>
      </c>
      <c r="E4" s="4" t="s">
        <v>23</v>
      </c>
      <c r="F4" s="5">
        <v>634343.07999999996</v>
      </c>
      <c r="G4" s="5">
        <v>176395.84</v>
      </c>
      <c r="H4" s="4">
        <v>9</v>
      </c>
      <c r="I4" s="6">
        <f t="shared" si="0"/>
        <v>5709087.7199999997</v>
      </c>
      <c r="J4" s="7">
        <f t="shared" si="1"/>
        <v>27.807639991911003</v>
      </c>
    </row>
    <row r="5" spans="1:10" x14ac:dyDescent="0.25">
      <c r="A5" s="1" t="s">
        <v>54</v>
      </c>
      <c r="B5" s="1" t="s">
        <v>55</v>
      </c>
      <c r="C5" s="1" t="s">
        <v>39</v>
      </c>
      <c r="D5" s="1" t="s">
        <v>27</v>
      </c>
      <c r="E5" s="1" t="s">
        <v>28</v>
      </c>
      <c r="F5" s="8">
        <v>172014.87</v>
      </c>
      <c r="G5" s="8">
        <v>61431.6</v>
      </c>
      <c r="H5" s="1">
        <v>10</v>
      </c>
      <c r="I5" s="9">
        <f t="shared" si="0"/>
        <v>1720148.7</v>
      </c>
      <c r="J5" s="10">
        <f t="shared" si="1"/>
        <v>35.712959001742121</v>
      </c>
    </row>
    <row r="6" spans="1:10" x14ac:dyDescent="0.25">
      <c r="A6" s="4" t="s">
        <v>56</v>
      </c>
      <c r="B6" s="4" t="s">
        <v>57</v>
      </c>
      <c r="C6" s="4" t="s">
        <v>37</v>
      </c>
      <c r="D6" s="4" t="s">
        <v>29</v>
      </c>
      <c r="E6" s="4" t="s">
        <v>30</v>
      </c>
      <c r="F6" s="5">
        <v>28667.23</v>
      </c>
      <c r="G6" s="5">
        <v>10716.75</v>
      </c>
      <c r="H6" s="4">
        <v>6</v>
      </c>
      <c r="I6" s="6">
        <f t="shared" si="0"/>
        <v>172003.38</v>
      </c>
      <c r="J6" s="7">
        <f t="shared" si="1"/>
        <v>37.383277003044938</v>
      </c>
    </row>
    <row r="7" spans="1:10" x14ac:dyDescent="0.25">
      <c r="A7" s="1" t="s">
        <v>58</v>
      </c>
      <c r="B7" s="1" t="s">
        <v>51</v>
      </c>
      <c r="C7" s="1" t="s">
        <v>37</v>
      </c>
      <c r="D7" s="1" t="s">
        <v>24</v>
      </c>
      <c r="E7" s="1" t="s">
        <v>23</v>
      </c>
      <c r="F7" s="8">
        <v>225239.1</v>
      </c>
      <c r="G7" s="8">
        <v>71364.92</v>
      </c>
      <c r="H7" s="1">
        <v>7</v>
      </c>
      <c r="I7" s="9">
        <f t="shared" si="0"/>
        <v>1576673.7</v>
      </c>
      <c r="J7" s="10">
        <f t="shared" si="1"/>
        <v>31.684072614390661</v>
      </c>
    </row>
    <row r="8" spans="1:10" x14ac:dyDescent="0.25">
      <c r="A8" s="4" t="s">
        <v>59</v>
      </c>
      <c r="B8" s="4" t="s">
        <v>60</v>
      </c>
      <c r="C8" s="4" t="s">
        <v>38</v>
      </c>
      <c r="D8" s="4" t="s">
        <v>27</v>
      </c>
      <c r="E8" s="4" t="s">
        <v>28</v>
      </c>
      <c r="F8" s="5">
        <v>149844.37</v>
      </c>
      <c r="G8" s="5">
        <v>55860.79</v>
      </c>
      <c r="H8" s="4">
        <v>9</v>
      </c>
      <c r="I8" s="6">
        <f t="shared" si="0"/>
        <v>1348599.33</v>
      </c>
      <c r="J8" s="7">
        <f t="shared" si="1"/>
        <v>37.279205084582088</v>
      </c>
    </row>
    <row r="9" spans="1:10" x14ac:dyDescent="0.25">
      <c r="A9" s="1" t="s">
        <v>61</v>
      </c>
      <c r="B9" s="1" t="s">
        <v>62</v>
      </c>
      <c r="C9" s="1" t="s">
        <v>39</v>
      </c>
      <c r="D9" s="1" t="s">
        <v>31</v>
      </c>
      <c r="E9" s="1" t="s">
        <v>30</v>
      </c>
      <c r="F9" s="8">
        <v>21541.81</v>
      </c>
      <c r="G9" s="8">
        <v>7378.62</v>
      </c>
      <c r="H9" s="1">
        <v>10</v>
      </c>
      <c r="I9" s="9">
        <f t="shared" si="0"/>
        <v>215418.1</v>
      </c>
      <c r="J9" s="10">
        <f t="shared" si="1"/>
        <v>34.25255352266128</v>
      </c>
    </row>
    <row r="10" spans="1:10" x14ac:dyDescent="0.25">
      <c r="A10" s="4" t="s">
        <v>63</v>
      </c>
      <c r="B10" s="4" t="s">
        <v>64</v>
      </c>
      <c r="C10" s="4" t="s">
        <v>38</v>
      </c>
      <c r="D10" s="4" t="s">
        <v>24</v>
      </c>
      <c r="E10" s="4" t="s">
        <v>23</v>
      </c>
      <c r="F10" s="5">
        <v>36128.839999999997</v>
      </c>
      <c r="G10" s="5">
        <v>10046.14</v>
      </c>
      <c r="H10" s="4">
        <v>1</v>
      </c>
      <c r="I10" s="6">
        <f t="shared" si="0"/>
        <v>36128.839999999997</v>
      </c>
      <c r="J10" s="7">
        <f t="shared" si="1"/>
        <v>27.806428327065024</v>
      </c>
    </row>
    <row r="11" spans="1:10" x14ac:dyDescent="0.25">
      <c r="A11" s="1" t="s">
        <v>65</v>
      </c>
      <c r="B11" s="1" t="s">
        <v>53</v>
      </c>
      <c r="C11" s="1" t="s">
        <v>37</v>
      </c>
      <c r="D11" s="1" t="s">
        <v>24</v>
      </c>
      <c r="E11" s="1" t="s">
        <v>23</v>
      </c>
      <c r="F11" s="8">
        <v>234120.71</v>
      </c>
      <c r="G11" s="8">
        <v>68399.58</v>
      </c>
      <c r="H11" s="1">
        <v>7</v>
      </c>
      <c r="I11" s="9">
        <f t="shared" si="0"/>
        <v>1638844.97</v>
      </c>
      <c r="J11" s="10">
        <f t="shared" si="1"/>
        <v>29.215518780888715</v>
      </c>
    </row>
    <row r="12" spans="1:10" x14ac:dyDescent="0.25">
      <c r="A12" s="4" t="s">
        <v>66</v>
      </c>
      <c r="B12" s="4" t="s">
        <v>67</v>
      </c>
      <c r="C12" s="4" t="s">
        <v>38</v>
      </c>
      <c r="D12" s="4" t="s">
        <v>32</v>
      </c>
      <c r="E12" s="4" t="s">
        <v>30</v>
      </c>
      <c r="F12" s="5">
        <v>8477.11</v>
      </c>
      <c r="G12" s="5">
        <v>3252.22</v>
      </c>
      <c r="H12" s="4">
        <v>6</v>
      </c>
      <c r="I12" s="6">
        <f t="shared" si="0"/>
        <v>50862.66</v>
      </c>
      <c r="J12" s="7">
        <f t="shared" si="1"/>
        <v>38.364725714305933</v>
      </c>
    </row>
    <row r="13" spans="1:10" x14ac:dyDescent="0.25">
      <c r="A13" s="1" t="s">
        <v>68</v>
      </c>
      <c r="B13" s="1" t="s">
        <v>69</v>
      </c>
      <c r="C13" s="1" t="s">
        <v>40</v>
      </c>
      <c r="D13" s="1" t="s">
        <v>26</v>
      </c>
      <c r="E13" s="1" t="s">
        <v>23</v>
      </c>
      <c r="F13" s="8">
        <v>235310.71</v>
      </c>
      <c r="G13" s="8">
        <v>55608.87</v>
      </c>
      <c r="H13" s="1">
        <v>9</v>
      </c>
      <c r="I13" s="9">
        <f t="shared" si="0"/>
        <v>2117796.39</v>
      </c>
      <c r="J13" s="10">
        <f t="shared" si="1"/>
        <v>23.632103273157437</v>
      </c>
    </row>
    <row r="14" spans="1:10" x14ac:dyDescent="0.25">
      <c r="A14" s="4" t="s">
        <v>70</v>
      </c>
      <c r="B14" s="4" t="s">
        <v>71</v>
      </c>
      <c r="C14" s="4" t="s">
        <v>39</v>
      </c>
      <c r="D14" s="4" t="s">
        <v>25</v>
      </c>
      <c r="E14" s="4" t="s">
        <v>23</v>
      </c>
      <c r="F14" s="5">
        <v>128228.45</v>
      </c>
      <c r="G14" s="5">
        <v>36187.199999999997</v>
      </c>
      <c r="H14" s="4">
        <v>6</v>
      </c>
      <c r="I14" s="6">
        <f t="shared" si="0"/>
        <v>769370.7</v>
      </c>
      <c r="J14" s="7">
        <f t="shared" si="1"/>
        <v>28.220882339293656</v>
      </c>
    </row>
    <row r="15" spans="1:10" x14ac:dyDescent="0.25">
      <c r="A15" s="1" t="s">
        <v>72</v>
      </c>
      <c r="B15" s="1" t="s">
        <v>73</v>
      </c>
      <c r="C15" s="1" t="s">
        <v>37</v>
      </c>
      <c r="D15" s="1" t="s">
        <v>32</v>
      </c>
      <c r="E15" s="1" t="s">
        <v>30</v>
      </c>
      <c r="F15" s="8">
        <v>10012.26</v>
      </c>
      <c r="G15" s="8">
        <v>3747.23</v>
      </c>
      <c r="H15" s="1">
        <v>7</v>
      </c>
      <c r="I15" s="9">
        <f t="shared" si="0"/>
        <v>70085.820000000007</v>
      </c>
      <c r="J15" s="10">
        <f t="shared" si="1"/>
        <v>37.426415214946473</v>
      </c>
    </row>
    <row r="16" spans="1:10" x14ac:dyDescent="0.25">
      <c r="A16" s="4" t="s">
        <v>74</v>
      </c>
      <c r="B16" s="4" t="s">
        <v>75</v>
      </c>
      <c r="C16" s="4" t="s">
        <v>39</v>
      </c>
      <c r="D16" s="4" t="s">
        <v>27</v>
      </c>
      <c r="E16" s="4" t="s">
        <v>28</v>
      </c>
      <c r="F16" s="5">
        <v>135694.01999999999</v>
      </c>
      <c r="G16" s="5">
        <v>41099.96</v>
      </c>
      <c r="H16" s="4">
        <v>7</v>
      </c>
      <c r="I16" s="6">
        <f t="shared" si="0"/>
        <v>949858.1399999999</v>
      </c>
      <c r="J16" s="7">
        <f t="shared" si="1"/>
        <v>30.288703953202951</v>
      </c>
    </row>
    <row r="17" spans="1:10" x14ac:dyDescent="0.25">
      <c r="A17" s="1" t="s">
        <v>76</v>
      </c>
      <c r="B17" s="1" t="s">
        <v>77</v>
      </c>
      <c r="C17" s="1" t="s">
        <v>40</v>
      </c>
      <c r="D17" s="1" t="s">
        <v>26</v>
      </c>
      <c r="E17" s="1" t="s">
        <v>23</v>
      </c>
      <c r="F17" s="8">
        <v>104899.78</v>
      </c>
      <c r="G17" s="8">
        <v>26818.27</v>
      </c>
      <c r="H17" s="1">
        <v>4</v>
      </c>
      <c r="I17" s="9">
        <f t="shared" si="0"/>
        <v>419599.12</v>
      </c>
      <c r="J17" s="10">
        <f t="shared" si="1"/>
        <v>25.565611291081829</v>
      </c>
    </row>
    <row r="18" spans="1:10" x14ac:dyDescent="0.25">
      <c r="A18" s="4" t="s">
        <v>78</v>
      </c>
      <c r="B18" s="4" t="s">
        <v>79</v>
      </c>
      <c r="C18" s="4" t="s">
        <v>40</v>
      </c>
      <c r="D18" s="4" t="s">
        <v>29</v>
      </c>
      <c r="E18" s="4" t="s">
        <v>30</v>
      </c>
      <c r="F18" s="5">
        <v>28315.919999999998</v>
      </c>
      <c r="G18" s="5">
        <v>12594.09</v>
      </c>
      <c r="H18" s="4">
        <v>6</v>
      </c>
      <c r="I18" s="6">
        <f t="shared" si="0"/>
        <v>169895.52</v>
      </c>
      <c r="J18" s="7">
        <f t="shared" si="1"/>
        <v>44.477064492342123</v>
      </c>
    </row>
    <row r="19" spans="1:10" x14ac:dyDescent="0.25">
      <c r="A19" s="1" t="s">
        <v>80</v>
      </c>
      <c r="B19" s="1" t="s">
        <v>81</v>
      </c>
      <c r="C19" s="1" t="s">
        <v>40</v>
      </c>
      <c r="D19" s="1" t="s">
        <v>22</v>
      </c>
      <c r="E19" s="1" t="s">
        <v>23</v>
      </c>
      <c r="F19" s="8">
        <v>139585.24</v>
      </c>
      <c r="G19" s="8">
        <v>35279.86</v>
      </c>
      <c r="H19" s="1">
        <v>2</v>
      </c>
      <c r="I19" s="9">
        <f t="shared" si="0"/>
        <v>279170.48</v>
      </c>
      <c r="J19" s="10">
        <f t="shared" si="1"/>
        <v>25.274778336162189</v>
      </c>
    </row>
    <row r="20" spans="1:10" x14ac:dyDescent="0.25">
      <c r="A20" s="4" t="s">
        <v>82</v>
      </c>
      <c r="B20" s="4" t="s">
        <v>83</v>
      </c>
      <c r="C20" s="4" t="s">
        <v>37</v>
      </c>
      <c r="D20" s="4" t="s">
        <v>24</v>
      </c>
      <c r="E20" s="4" t="s">
        <v>23</v>
      </c>
      <c r="F20" s="5">
        <v>239199.35</v>
      </c>
      <c r="G20" s="5">
        <v>73445.7</v>
      </c>
      <c r="H20" s="4">
        <v>7</v>
      </c>
      <c r="I20" s="6">
        <f t="shared" si="0"/>
        <v>1674395.45</v>
      </c>
      <c r="J20" s="7">
        <f t="shared" si="1"/>
        <v>30.704807517244504</v>
      </c>
    </row>
    <row r="21" spans="1:10" x14ac:dyDescent="0.25">
      <c r="A21" s="1" t="s">
        <v>84</v>
      </c>
      <c r="B21" s="1" t="s">
        <v>85</v>
      </c>
      <c r="C21" s="1" t="s">
        <v>37</v>
      </c>
      <c r="D21" s="1" t="s">
        <v>22</v>
      </c>
      <c r="E21" s="1" t="s">
        <v>23</v>
      </c>
      <c r="F21" s="8">
        <v>155451.31</v>
      </c>
      <c r="G21" s="8">
        <v>38295.760000000002</v>
      </c>
      <c r="H21" s="1">
        <v>2</v>
      </c>
      <c r="I21" s="9">
        <f t="shared" si="0"/>
        <v>310902.62</v>
      </c>
      <c r="J21" s="10">
        <f t="shared" si="1"/>
        <v>24.635212144561535</v>
      </c>
    </row>
    <row r="22" spans="1:10" x14ac:dyDescent="0.25">
      <c r="A22" s="4" t="s">
        <v>86</v>
      </c>
      <c r="B22" s="4" t="s">
        <v>87</v>
      </c>
      <c r="C22" s="4" t="s">
        <v>38</v>
      </c>
      <c r="D22" s="4" t="s">
        <v>32</v>
      </c>
      <c r="E22" s="4" t="s">
        <v>30</v>
      </c>
      <c r="F22" s="5">
        <v>2876.1</v>
      </c>
      <c r="G22" s="5">
        <v>1057.96</v>
      </c>
      <c r="H22" s="4">
        <v>2</v>
      </c>
      <c r="I22" s="6">
        <f t="shared" si="0"/>
        <v>5752.2</v>
      </c>
      <c r="J22" s="7">
        <f t="shared" si="1"/>
        <v>36.784534612843785</v>
      </c>
    </row>
    <row r="23" spans="1:10" x14ac:dyDescent="0.25">
      <c r="A23" s="1" t="s">
        <v>88</v>
      </c>
      <c r="B23" s="1" t="s">
        <v>89</v>
      </c>
      <c r="C23" s="1" t="s">
        <v>37</v>
      </c>
      <c r="D23" s="1" t="s">
        <v>26</v>
      </c>
      <c r="E23" s="1" t="s">
        <v>23</v>
      </c>
      <c r="F23" s="8">
        <v>243568.25</v>
      </c>
      <c r="G23" s="8">
        <v>64518.53</v>
      </c>
      <c r="H23" s="1">
        <v>9</v>
      </c>
      <c r="I23" s="9">
        <f t="shared" si="0"/>
        <v>2192114.25</v>
      </c>
      <c r="J23" s="10">
        <f t="shared" si="1"/>
        <v>26.488891717208624</v>
      </c>
    </row>
    <row r="24" spans="1:10" x14ac:dyDescent="0.25">
      <c r="A24" s="4" t="s">
        <v>90</v>
      </c>
      <c r="B24" s="4" t="s">
        <v>49</v>
      </c>
      <c r="C24" s="4" t="s">
        <v>38</v>
      </c>
      <c r="D24" s="4" t="s">
        <v>25</v>
      </c>
      <c r="E24" s="4" t="s">
        <v>23</v>
      </c>
      <c r="F24" s="5">
        <v>58486.97</v>
      </c>
      <c r="G24" s="5">
        <v>15881.58</v>
      </c>
      <c r="H24" s="4">
        <v>3</v>
      </c>
      <c r="I24" s="6">
        <f t="shared" si="0"/>
        <v>175460.91</v>
      </c>
      <c r="J24" s="7">
        <f t="shared" si="1"/>
        <v>27.154048158076915</v>
      </c>
    </row>
    <row r="25" spans="1:10" x14ac:dyDescent="0.25">
      <c r="A25" s="1" t="s">
        <v>91</v>
      </c>
      <c r="B25" s="1" t="s">
        <v>92</v>
      </c>
      <c r="C25" s="1" t="s">
        <v>37</v>
      </c>
      <c r="D25" s="1" t="s">
        <v>32</v>
      </c>
      <c r="E25" s="1" t="s">
        <v>30</v>
      </c>
      <c r="F25" s="8">
        <v>10846.74</v>
      </c>
      <c r="G25" s="8">
        <v>4971.93</v>
      </c>
      <c r="H25" s="1">
        <v>8</v>
      </c>
      <c r="I25" s="9">
        <f t="shared" si="0"/>
        <v>86773.92</v>
      </c>
      <c r="J25" s="10">
        <f t="shared" si="1"/>
        <v>45.838012158491864</v>
      </c>
    </row>
    <row r="26" spans="1:10" x14ac:dyDescent="0.25">
      <c r="A26" s="4" t="s">
        <v>93</v>
      </c>
      <c r="B26" s="4" t="s">
        <v>94</v>
      </c>
      <c r="C26" s="4" t="s">
        <v>38</v>
      </c>
      <c r="D26" s="4" t="s">
        <v>22</v>
      </c>
      <c r="E26" s="4" t="s">
        <v>23</v>
      </c>
      <c r="F26" s="5">
        <v>322680.58</v>
      </c>
      <c r="G26" s="5">
        <v>83151.19</v>
      </c>
      <c r="H26" s="4">
        <v>4</v>
      </c>
      <c r="I26" s="6">
        <f t="shared" si="0"/>
        <v>1290722.32</v>
      </c>
      <c r="J26" s="7">
        <f t="shared" si="1"/>
        <v>25.768885750732196</v>
      </c>
    </row>
    <row r="27" spans="1:10" x14ac:dyDescent="0.25">
      <c r="A27" s="1" t="s">
        <v>95</v>
      </c>
      <c r="B27" s="1" t="s">
        <v>96</v>
      </c>
      <c r="C27" s="1" t="s">
        <v>40</v>
      </c>
      <c r="D27" s="1" t="s">
        <v>24</v>
      </c>
      <c r="E27" s="1" t="s">
        <v>23</v>
      </c>
      <c r="F27" s="8">
        <v>331747.57</v>
      </c>
      <c r="G27" s="8">
        <v>78811.05</v>
      </c>
      <c r="H27" s="1">
        <v>9</v>
      </c>
      <c r="I27" s="9">
        <f t="shared" si="0"/>
        <v>2985728.13</v>
      </c>
      <c r="J27" s="10">
        <f t="shared" si="1"/>
        <v>23.756330754736197</v>
      </c>
    </row>
    <row r="28" spans="1:10" x14ac:dyDescent="0.25">
      <c r="A28" s="4" t="s">
        <v>97</v>
      </c>
      <c r="B28" s="4" t="s">
        <v>98</v>
      </c>
      <c r="C28" s="4" t="s">
        <v>39</v>
      </c>
      <c r="D28" s="4" t="s">
        <v>26</v>
      </c>
      <c r="E28" s="4" t="s">
        <v>23</v>
      </c>
      <c r="F28" s="5">
        <v>125691.84</v>
      </c>
      <c r="G28" s="5">
        <v>33996.160000000003</v>
      </c>
      <c r="H28" s="4">
        <v>5</v>
      </c>
      <c r="I28" s="6">
        <f t="shared" si="0"/>
        <v>628459.19999999995</v>
      </c>
      <c r="J28" s="7">
        <f t="shared" si="1"/>
        <v>27.047229159824539</v>
      </c>
    </row>
    <row r="29" spans="1:10" x14ac:dyDescent="0.25">
      <c r="A29" s="1" t="s">
        <v>99</v>
      </c>
      <c r="B29" s="1" t="s">
        <v>100</v>
      </c>
      <c r="C29" s="1" t="s">
        <v>37</v>
      </c>
      <c r="D29" s="1" t="s">
        <v>25</v>
      </c>
      <c r="E29" s="1" t="s">
        <v>23</v>
      </c>
      <c r="F29" s="8">
        <v>97979.85</v>
      </c>
      <c r="G29" s="8">
        <v>29530.12</v>
      </c>
      <c r="H29" s="1">
        <v>5</v>
      </c>
      <c r="I29" s="9">
        <f t="shared" si="0"/>
        <v>489899.25</v>
      </c>
      <c r="J29" s="10">
        <f t="shared" si="1"/>
        <v>30.138972451988849</v>
      </c>
    </row>
    <row r="30" spans="1:10" x14ac:dyDescent="0.25">
      <c r="A30" s="4" t="s">
        <v>101</v>
      </c>
      <c r="B30" s="4" t="s">
        <v>102</v>
      </c>
      <c r="C30" s="4" t="s">
        <v>38</v>
      </c>
      <c r="D30" s="4" t="s">
        <v>27</v>
      </c>
      <c r="E30" s="4" t="s">
        <v>28</v>
      </c>
      <c r="F30" s="5">
        <v>34184.92</v>
      </c>
      <c r="G30" s="5">
        <v>10353.66</v>
      </c>
      <c r="H30" s="4">
        <v>2</v>
      </c>
      <c r="I30" s="6">
        <f t="shared" si="0"/>
        <v>68369.84</v>
      </c>
      <c r="J30" s="7">
        <f t="shared" si="1"/>
        <v>30.28721436235627</v>
      </c>
    </row>
    <row r="31" spans="1:10" x14ac:dyDescent="0.25">
      <c r="A31" s="1" t="s">
        <v>103</v>
      </c>
      <c r="B31" s="1" t="s">
        <v>104</v>
      </c>
      <c r="C31" s="1" t="s">
        <v>38</v>
      </c>
      <c r="D31" s="1" t="s">
        <v>25</v>
      </c>
      <c r="E31" s="1" t="s">
        <v>23</v>
      </c>
      <c r="F31" s="8">
        <v>188808.7</v>
      </c>
      <c r="G31" s="8">
        <v>51851.92</v>
      </c>
      <c r="H31" s="1">
        <v>10</v>
      </c>
      <c r="I31" s="9">
        <f t="shared" si="0"/>
        <v>1888087</v>
      </c>
      <c r="J31" s="10">
        <f t="shared" si="1"/>
        <v>27.462675183929552</v>
      </c>
    </row>
    <row r="32" spans="1:10" x14ac:dyDescent="0.25">
      <c r="A32" s="4" t="s">
        <v>105</v>
      </c>
      <c r="B32" s="4" t="s">
        <v>106</v>
      </c>
      <c r="C32" s="4" t="s">
        <v>39</v>
      </c>
      <c r="D32" s="4" t="s">
        <v>24</v>
      </c>
      <c r="E32" s="4" t="s">
        <v>23</v>
      </c>
      <c r="F32" s="5">
        <v>37517.449999999997</v>
      </c>
      <c r="G32" s="5">
        <v>8641.7099999999991</v>
      </c>
      <c r="H32" s="4">
        <v>1</v>
      </c>
      <c r="I32" s="6">
        <f t="shared" si="0"/>
        <v>37517.449999999997</v>
      </c>
      <c r="J32" s="7">
        <f t="shared" si="1"/>
        <v>23.033841585715447</v>
      </c>
    </row>
    <row r="33" spans="1:10" x14ac:dyDescent="0.25">
      <c r="A33" s="1" t="s">
        <v>107</v>
      </c>
      <c r="B33" s="1" t="s">
        <v>108</v>
      </c>
      <c r="C33" s="1" t="s">
        <v>40</v>
      </c>
      <c r="D33" s="1" t="s">
        <v>27</v>
      </c>
      <c r="E33" s="1" t="s">
        <v>28</v>
      </c>
      <c r="F33" s="8">
        <v>72564.97</v>
      </c>
      <c r="G33" s="8">
        <v>23872.09</v>
      </c>
      <c r="H33" s="1">
        <v>4</v>
      </c>
      <c r="I33" s="9">
        <f t="shared" si="0"/>
        <v>290259.88</v>
      </c>
      <c r="J33" s="10">
        <f t="shared" si="1"/>
        <v>32.897539956262648</v>
      </c>
    </row>
    <row r="34" spans="1:10" x14ac:dyDescent="0.25">
      <c r="A34" s="4" t="s">
        <v>109</v>
      </c>
      <c r="B34" s="4" t="s">
        <v>110</v>
      </c>
      <c r="C34" s="4" t="s">
        <v>40</v>
      </c>
      <c r="D34" s="4" t="s">
        <v>27</v>
      </c>
      <c r="E34" s="4" t="s">
        <v>28</v>
      </c>
      <c r="F34" s="5">
        <v>118198.33</v>
      </c>
      <c r="G34" s="5">
        <v>36514.22</v>
      </c>
      <c r="H34" s="4">
        <v>7</v>
      </c>
      <c r="I34" s="6">
        <f t="shared" ref="I34:I65" si="2">F34*H34</f>
        <v>827388.31</v>
      </c>
      <c r="J34" s="7">
        <f t="shared" ref="J34:J65" si="3">IF(F34=0,0,G34/F34*100)</f>
        <v>30.892331558322354</v>
      </c>
    </row>
    <row r="35" spans="1:10" x14ac:dyDescent="0.25">
      <c r="A35" s="1" t="s">
        <v>111</v>
      </c>
      <c r="B35" s="1" t="s">
        <v>112</v>
      </c>
      <c r="C35" s="1" t="s">
        <v>38</v>
      </c>
      <c r="D35" s="1" t="s">
        <v>29</v>
      </c>
      <c r="E35" s="1" t="s">
        <v>30</v>
      </c>
      <c r="F35" s="8">
        <v>34769.17</v>
      </c>
      <c r="G35" s="8">
        <v>13941.41</v>
      </c>
      <c r="H35" s="1">
        <v>7</v>
      </c>
      <c r="I35" s="9">
        <f t="shared" si="2"/>
        <v>243384.19</v>
      </c>
      <c r="J35" s="10">
        <f t="shared" si="3"/>
        <v>40.097045744836592</v>
      </c>
    </row>
    <row r="36" spans="1:10" x14ac:dyDescent="0.25">
      <c r="A36" s="4" t="s">
        <v>113</v>
      </c>
      <c r="B36" s="4" t="s">
        <v>114</v>
      </c>
      <c r="C36" s="4" t="s">
        <v>39</v>
      </c>
      <c r="D36" s="4" t="s">
        <v>29</v>
      </c>
      <c r="E36" s="4" t="s">
        <v>30</v>
      </c>
      <c r="F36" s="5">
        <v>31803.56</v>
      </c>
      <c r="G36" s="5">
        <v>10462.25</v>
      </c>
      <c r="H36" s="4">
        <v>6</v>
      </c>
      <c r="I36" s="6">
        <f t="shared" si="2"/>
        <v>190821.36000000002</v>
      </c>
      <c r="J36" s="7">
        <f t="shared" si="3"/>
        <v>32.896474482730866</v>
      </c>
    </row>
    <row r="37" spans="1:10" x14ac:dyDescent="0.25">
      <c r="A37" s="1" t="s">
        <v>115</v>
      </c>
      <c r="B37" s="1" t="s">
        <v>116</v>
      </c>
      <c r="C37" s="1" t="s">
        <v>39</v>
      </c>
      <c r="D37" s="1" t="s">
        <v>27</v>
      </c>
      <c r="E37" s="1" t="s">
        <v>28</v>
      </c>
      <c r="F37" s="8">
        <v>53156.32</v>
      </c>
      <c r="G37" s="8">
        <v>16302.76</v>
      </c>
      <c r="H37" s="1">
        <v>3</v>
      </c>
      <c r="I37" s="9">
        <f t="shared" si="2"/>
        <v>159468.96</v>
      </c>
      <c r="J37" s="10">
        <f t="shared" si="3"/>
        <v>30.669466960843039</v>
      </c>
    </row>
    <row r="38" spans="1:10" x14ac:dyDescent="0.25">
      <c r="A38" s="4" t="s">
        <v>117</v>
      </c>
      <c r="B38" s="4" t="s">
        <v>118</v>
      </c>
      <c r="C38" s="4" t="s">
        <v>38</v>
      </c>
      <c r="D38" s="4" t="s">
        <v>27</v>
      </c>
      <c r="E38" s="4" t="s">
        <v>28</v>
      </c>
      <c r="F38" s="5">
        <v>148972.24</v>
      </c>
      <c r="G38" s="5">
        <v>52943.16</v>
      </c>
      <c r="H38" s="4">
        <v>9</v>
      </c>
      <c r="I38" s="6">
        <f t="shared" si="2"/>
        <v>1340750.1599999999</v>
      </c>
      <c r="J38" s="7">
        <f t="shared" si="3"/>
        <v>35.538943362870832</v>
      </c>
    </row>
    <row r="39" spans="1:10" x14ac:dyDescent="0.25">
      <c r="A39" s="1" t="s">
        <v>119</v>
      </c>
      <c r="B39" s="1" t="s">
        <v>120</v>
      </c>
      <c r="C39" s="1" t="s">
        <v>40</v>
      </c>
      <c r="D39" s="1" t="s">
        <v>25</v>
      </c>
      <c r="E39" s="1" t="s">
        <v>23</v>
      </c>
      <c r="F39" s="8">
        <v>58876.97</v>
      </c>
      <c r="G39" s="8">
        <v>17032.89</v>
      </c>
      <c r="H39" s="1">
        <v>3</v>
      </c>
      <c r="I39" s="9">
        <f t="shared" si="2"/>
        <v>176630.91</v>
      </c>
      <c r="J39" s="10">
        <f t="shared" si="3"/>
        <v>28.929630719787379</v>
      </c>
    </row>
    <row r="40" spans="1:10" x14ac:dyDescent="0.25">
      <c r="A40" s="4" t="s">
        <v>121</v>
      </c>
      <c r="B40" s="4" t="s">
        <v>122</v>
      </c>
      <c r="C40" s="4" t="s">
        <v>40</v>
      </c>
      <c r="D40" s="4" t="s">
        <v>26</v>
      </c>
      <c r="E40" s="4" t="s">
        <v>23</v>
      </c>
      <c r="F40" s="5">
        <v>157575.44</v>
      </c>
      <c r="G40" s="5">
        <v>45476.13</v>
      </c>
      <c r="H40" s="4">
        <v>7</v>
      </c>
      <c r="I40" s="6">
        <f t="shared" si="2"/>
        <v>1103028.08</v>
      </c>
      <c r="J40" s="7">
        <f t="shared" si="3"/>
        <v>28.859909894587631</v>
      </c>
    </row>
    <row r="41" spans="1:10" x14ac:dyDescent="0.25">
      <c r="A41" s="1" t="s">
        <v>123</v>
      </c>
      <c r="B41" s="1" t="s">
        <v>124</v>
      </c>
      <c r="C41" s="1" t="s">
        <v>39</v>
      </c>
      <c r="D41" s="1" t="s">
        <v>29</v>
      </c>
      <c r="E41" s="1" t="s">
        <v>30</v>
      </c>
      <c r="F41" s="8">
        <v>46456.84</v>
      </c>
      <c r="G41" s="8">
        <v>17052.02</v>
      </c>
      <c r="H41" s="1">
        <v>9</v>
      </c>
      <c r="I41" s="9">
        <f t="shared" si="2"/>
        <v>418111.55999999994</v>
      </c>
      <c r="J41" s="10">
        <f t="shared" si="3"/>
        <v>36.705079381206303</v>
      </c>
    </row>
    <row r="42" spans="1:10" x14ac:dyDescent="0.25">
      <c r="A42" s="4" t="s">
        <v>125</v>
      </c>
      <c r="B42" s="4" t="s">
        <v>126</v>
      </c>
      <c r="C42" s="4" t="s">
        <v>37</v>
      </c>
      <c r="D42" s="4" t="s">
        <v>25</v>
      </c>
      <c r="E42" s="4" t="s">
        <v>23</v>
      </c>
      <c r="F42" s="5">
        <v>20316.72</v>
      </c>
      <c r="G42" s="5">
        <v>5750.63</v>
      </c>
      <c r="H42" s="4">
        <v>1</v>
      </c>
      <c r="I42" s="6">
        <f t="shared" si="2"/>
        <v>20316.72</v>
      </c>
      <c r="J42" s="7">
        <f t="shared" si="3"/>
        <v>28.304913391531706</v>
      </c>
    </row>
    <row r="43" spans="1:10" x14ac:dyDescent="0.25">
      <c r="A43" s="1" t="s">
        <v>127</v>
      </c>
      <c r="B43" s="1" t="s">
        <v>128</v>
      </c>
      <c r="C43" s="1" t="s">
        <v>39</v>
      </c>
      <c r="D43" s="1" t="s">
        <v>22</v>
      </c>
      <c r="E43" s="1" t="s">
        <v>23</v>
      </c>
      <c r="F43" s="8">
        <v>746518.28</v>
      </c>
      <c r="G43" s="8">
        <v>206775.49</v>
      </c>
      <c r="H43" s="1">
        <v>10</v>
      </c>
      <c r="I43" s="9">
        <f t="shared" si="2"/>
        <v>7465182.8000000007</v>
      </c>
      <c r="J43" s="10">
        <f t="shared" si="3"/>
        <v>27.698650594329717</v>
      </c>
    </row>
    <row r="44" spans="1:10" x14ac:dyDescent="0.25">
      <c r="A44" s="4" t="s">
        <v>129</v>
      </c>
      <c r="B44" s="4" t="s">
        <v>128</v>
      </c>
      <c r="C44" s="4" t="s">
        <v>39</v>
      </c>
      <c r="D44" s="4" t="s">
        <v>24</v>
      </c>
      <c r="E44" s="4" t="s">
        <v>23</v>
      </c>
      <c r="F44" s="5">
        <v>95938.95</v>
      </c>
      <c r="G44" s="5">
        <v>25907.77</v>
      </c>
      <c r="H44" s="4">
        <v>3</v>
      </c>
      <c r="I44" s="6">
        <f t="shared" si="2"/>
        <v>287816.84999999998</v>
      </c>
      <c r="J44" s="7">
        <f t="shared" si="3"/>
        <v>27.004433548626501</v>
      </c>
    </row>
    <row r="45" spans="1:10" x14ac:dyDescent="0.25">
      <c r="A45" s="1" t="s">
        <v>130</v>
      </c>
      <c r="B45" s="1" t="s">
        <v>131</v>
      </c>
      <c r="C45" s="1" t="s">
        <v>38</v>
      </c>
      <c r="D45" s="1" t="s">
        <v>24</v>
      </c>
      <c r="E45" s="1" t="s">
        <v>23</v>
      </c>
      <c r="F45" s="8">
        <v>332235.07</v>
      </c>
      <c r="G45" s="8">
        <v>96890.38</v>
      </c>
      <c r="H45" s="1">
        <v>10</v>
      </c>
      <c r="I45" s="9">
        <f t="shared" si="2"/>
        <v>3322350.7</v>
      </c>
      <c r="J45" s="10">
        <f t="shared" si="3"/>
        <v>29.163200621776625</v>
      </c>
    </row>
    <row r="46" spans="1:10" x14ac:dyDescent="0.25">
      <c r="A46" s="4" t="s">
        <v>132</v>
      </c>
      <c r="B46" s="4" t="s">
        <v>133</v>
      </c>
      <c r="C46" s="4" t="s">
        <v>39</v>
      </c>
      <c r="D46" s="4" t="s">
        <v>32</v>
      </c>
      <c r="E46" s="4" t="s">
        <v>30</v>
      </c>
      <c r="F46" s="5">
        <v>7056.39</v>
      </c>
      <c r="G46" s="5">
        <v>2979.72</v>
      </c>
      <c r="H46" s="4">
        <v>5</v>
      </c>
      <c r="I46" s="6">
        <f t="shared" si="2"/>
        <v>35281.950000000004</v>
      </c>
      <c r="J46" s="7">
        <f t="shared" si="3"/>
        <v>42.227257847142795</v>
      </c>
    </row>
    <row r="47" spans="1:10" x14ac:dyDescent="0.25">
      <c r="A47" s="1" t="s">
        <v>134</v>
      </c>
      <c r="B47" s="1" t="s">
        <v>77</v>
      </c>
      <c r="C47" s="1" t="s">
        <v>37</v>
      </c>
      <c r="D47" s="1" t="s">
        <v>29</v>
      </c>
      <c r="E47" s="1" t="s">
        <v>30</v>
      </c>
      <c r="F47" s="8">
        <v>15515.07</v>
      </c>
      <c r="G47" s="8">
        <v>5460</v>
      </c>
      <c r="H47" s="1">
        <v>3</v>
      </c>
      <c r="I47" s="9">
        <f t="shared" si="2"/>
        <v>46545.21</v>
      </c>
      <c r="J47" s="10">
        <f t="shared" si="3"/>
        <v>35.191591143320657</v>
      </c>
    </row>
    <row r="48" spans="1:10" x14ac:dyDescent="0.25">
      <c r="A48" s="4" t="s">
        <v>135</v>
      </c>
      <c r="B48" s="4" t="s">
        <v>136</v>
      </c>
      <c r="C48" s="4" t="s">
        <v>38</v>
      </c>
      <c r="D48" s="4" t="s">
        <v>22</v>
      </c>
      <c r="E48" s="4" t="s">
        <v>23</v>
      </c>
      <c r="F48" s="5">
        <v>614539.11</v>
      </c>
      <c r="G48" s="5">
        <v>154015.79999999999</v>
      </c>
      <c r="H48" s="4">
        <v>8</v>
      </c>
      <c r="I48" s="6">
        <f t="shared" si="2"/>
        <v>4916312.88</v>
      </c>
      <c r="J48" s="7">
        <f t="shared" si="3"/>
        <v>25.062001342762379</v>
      </c>
    </row>
    <row r="49" spans="1:10" x14ac:dyDescent="0.25">
      <c r="A49" s="1" t="s">
        <v>137</v>
      </c>
      <c r="B49" s="1" t="s">
        <v>136</v>
      </c>
      <c r="C49" s="1" t="s">
        <v>38</v>
      </c>
      <c r="D49" s="1" t="s">
        <v>25</v>
      </c>
      <c r="E49" s="1" t="s">
        <v>23</v>
      </c>
      <c r="F49" s="8">
        <v>171547.21</v>
      </c>
      <c r="G49" s="8">
        <v>55979.199999999997</v>
      </c>
      <c r="H49" s="1">
        <v>9</v>
      </c>
      <c r="I49" s="9">
        <f t="shared" si="2"/>
        <v>1543924.89</v>
      </c>
      <c r="J49" s="10">
        <f t="shared" si="3"/>
        <v>32.631950120319644</v>
      </c>
    </row>
    <row r="50" spans="1:10" x14ac:dyDescent="0.25">
      <c r="A50" s="4" t="s">
        <v>138</v>
      </c>
      <c r="B50" s="4" t="s">
        <v>139</v>
      </c>
      <c r="C50" s="4" t="s">
        <v>37</v>
      </c>
      <c r="D50" s="4" t="s">
        <v>32</v>
      </c>
      <c r="E50" s="4" t="s">
        <v>30</v>
      </c>
      <c r="F50" s="5">
        <v>6986.62</v>
      </c>
      <c r="G50" s="5">
        <v>3050.25</v>
      </c>
      <c r="H50" s="4">
        <v>5</v>
      </c>
      <c r="I50" s="6">
        <f t="shared" si="2"/>
        <v>34933.1</v>
      </c>
      <c r="J50" s="7">
        <f t="shared" si="3"/>
        <v>43.658450008730973</v>
      </c>
    </row>
    <row r="51" spans="1:10" x14ac:dyDescent="0.25">
      <c r="A51" s="1" t="s">
        <v>140</v>
      </c>
      <c r="B51" s="1" t="s">
        <v>141</v>
      </c>
      <c r="C51" s="1" t="s">
        <v>39</v>
      </c>
      <c r="D51" s="1" t="s">
        <v>22</v>
      </c>
      <c r="E51" s="1" t="s">
        <v>23</v>
      </c>
      <c r="F51" s="8">
        <v>647916.13</v>
      </c>
      <c r="G51" s="8">
        <v>176881.99</v>
      </c>
      <c r="H51" s="1">
        <v>9</v>
      </c>
      <c r="I51" s="9">
        <f t="shared" si="2"/>
        <v>5831245.1699999999</v>
      </c>
      <c r="J51" s="10">
        <f t="shared" si="3"/>
        <v>27.300136824807865</v>
      </c>
    </row>
    <row r="52" spans="1:10" x14ac:dyDescent="0.25">
      <c r="A52" s="4" t="s">
        <v>142</v>
      </c>
      <c r="B52" s="4" t="s">
        <v>77</v>
      </c>
      <c r="C52" s="4" t="s">
        <v>37</v>
      </c>
      <c r="D52" s="4" t="s">
        <v>24</v>
      </c>
      <c r="E52" s="4" t="s">
        <v>23</v>
      </c>
      <c r="F52" s="5">
        <v>73393.83</v>
      </c>
      <c r="G52" s="5">
        <v>17621.79</v>
      </c>
      <c r="H52" s="4">
        <v>2</v>
      </c>
      <c r="I52" s="6">
        <f t="shared" si="2"/>
        <v>146787.66</v>
      </c>
      <c r="J52" s="7">
        <f t="shared" si="3"/>
        <v>24.009906554815302</v>
      </c>
    </row>
    <row r="53" spans="1:10" x14ac:dyDescent="0.25">
      <c r="A53" s="1" t="s">
        <v>143</v>
      </c>
      <c r="B53" s="1" t="s">
        <v>144</v>
      </c>
      <c r="C53" s="1" t="s">
        <v>37</v>
      </c>
      <c r="D53" s="1" t="s">
        <v>25</v>
      </c>
      <c r="E53" s="1" t="s">
        <v>23</v>
      </c>
      <c r="F53" s="8">
        <v>112886.34</v>
      </c>
      <c r="G53" s="8">
        <v>35166.51</v>
      </c>
      <c r="H53" s="1">
        <v>6</v>
      </c>
      <c r="I53" s="9">
        <f t="shared" si="2"/>
        <v>677318.04</v>
      </c>
      <c r="J53" s="10">
        <f t="shared" si="3"/>
        <v>31.152139399682905</v>
      </c>
    </row>
    <row r="54" spans="1:10" x14ac:dyDescent="0.25">
      <c r="A54" s="4" t="s">
        <v>145</v>
      </c>
      <c r="B54" s="4" t="s">
        <v>146</v>
      </c>
      <c r="C54" s="4" t="s">
        <v>38</v>
      </c>
      <c r="D54" s="4" t="s">
        <v>27</v>
      </c>
      <c r="E54" s="4" t="s">
        <v>28</v>
      </c>
      <c r="F54" s="5">
        <v>97296.06</v>
      </c>
      <c r="G54" s="5">
        <v>30576.62</v>
      </c>
      <c r="H54" s="4">
        <v>5</v>
      </c>
      <c r="I54" s="6">
        <f t="shared" si="2"/>
        <v>486480.3</v>
      </c>
      <c r="J54" s="7">
        <f t="shared" si="3"/>
        <v>31.426370194229857</v>
      </c>
    </row>
    <row r="55" spans="1:10" x14ac:dyDescent="0.25">
      <c r="A55" s="1" t="s">
        <v>147</v>
      </c>
      <c r="B55" s="1" t="s">
        <v>148</v>
      </c>
      <c r="C55" s="1" t="s">
        <v>39</v>
      </c>
      <c r="D55" s="1" t="s">
        <v>29</v>
      </c>
      <c r="E55" s="1" t="s">
        <v>30</v>
      </c>
      <c r="F55" s="8">
        <v>22720.43</v>
      </c>
      <c r="G55" s="8">
        <v>9167.11</v>
      </c>
      <c r="H55" s="1">
        <v>5</v>
      </c>
      <c r="I55" s="9">
        <f t="shared" si="2"/>
        <v>113602.15</v>
      </c>
      <c r="J55" s="10">
        <f t="shared" si="3"/>
        <v>40.34743180476778</v>
      </c>
    </row>
    <row r="56" spans="1:10" x14ac:dyDescent="0.25">
      <c r="A56" s="4" t="s">
        <v>149</v>
      </c>
      <c r="B56" s="4" t="s">
        <v>150</v>
      </c>
      <c r="C56" s="4" t="s">
        <v>40</v>
      </c>
      <c r="D56" s="4" t="s">
        <v>31</v>
      </c>
      <c r="E56" s="4" t="s">
        <v>30</v>
      </c>
      <c r="F56" s="5">
        <v>6289.48</v>
      </c>
      <c r="G56" s="5">
        <v>2304.81</v>
      </c>
      <c r="H56" s="4">
        <v>3</v>
      </c>
      <c r="I56" s="6">
        <f t="shared" si="2"/>
        <v>18868.439999999999</v>
      </c>
      <c r="J56" s="7">
        <f t="shared" si="3"/>
        <v>36.645477845545258</v>
      </c>
    </row>
    <row r="57" spans="1:10" x14ac:dyDescent="0.25">
      <c r="A57" s="1" t="s">
        <v>151</v>
      </c>
      <c r="B57" s="1" t="s">
        <v>152</v>
      </c>
      <c r="C57" s="1" t="s">
        <v>39</v>
      </c>
      <c r="D57" s="1" t="s">
        <v>22</v>
      </c>
      <c r="E57" s="1" t="s">
        <v>23</v>
      </c>
      <c r="F57" s="8">
        <v>137257.32</v>
      </c>
      <c r="G57" s="8">
        <v>41064.85</v>
      </c>
      <c r="H57" s="1">
        <v>2</v>
      </c>
      <c r="I57" s="9">
        <f t="shared" si="2"/>
        <v>274514.64</v>
      </c>
      <c r="J57" s="10">
        <f t="shared" si="3"/>
        <v>29.918149356260194</v>
      </c>
    </row>
    <row r="58" spans="1:10" x14ac:dyDescent="0.25">
      <c r="A58" s="4" t="s">
        <v>153</v>
      </c>
      <c r="B58" s="4" t="s">
        <v>154</v>
      </c>
      <c r="C58" s="4" t="s">
        <v>39</v>
      </c>
      <c r="D58" s="4" t="s">
        <v>22</v>
      </c>
      <c r="E58" s="4" t="s">
        <v>23</v>
      </c>
      <c r="F58" s="5">
        <v>457425.86</v>
      </c>
      <c r="G58" s="5">
        <v>105554.25</v>
      </c>
      <c r="H58" s="4">
        <v>6</v>
      </c>
      <c r="I58" s="6">
        <f t="shared" si="2"/>
        <v>2744555.16</v>
      </c>
      <c r="J58" s="7">
        <f t="shared" si="3"/>
        <v>23.075706738573984</v>
      </c>
    </row>
    <row r="59" spans="1:10" x14ac:dyDescent="0.25">
      <c r="A59" s="1" t="s">
        <v>155</v>
      </c>
      <c r="B59" s="1" t="s">
        <v>156</v>
      </c>
      <c r="C59" s="1" t="s">
        <v>38</v>
      </c>
      <c r="D59" s="1" t="s">
        <v>31</v>
      </c>
      <c r="E59" s="1" t="s">
        <v>30</v>
      </c>
      <c r="F59" s="8">
        <v>12957.56</v>
      </c>
      <c r="G59" s="8">
        <v>4844.28</v>
      </c>
      <c r="H59" s="1">
        <v>6</v>
      </c>
      <c r="I59" s="9">
        <f t="shared" si="2"/>
        <v>77745.36</v>
      </c>
      <c r="J59" s="10">
        <f t="shared" si="3"/>
        <v>37.385742377422908</v>
      </c>
    </row>
    <row r="60" spans="1:10" x14ac:dyDescent="0.25">
      <c r="A60" s="4" t="s">
        <v>157</v>
      </c>
      <c r="B60" s="4" t="s">
        <v>158</v>
      </c>
      <c r="C60" s="4" t="s">
        <v>40</v>
      </c>
      <c r="D60" s="4" t="s">
        <v>25</v>
      </c>
      <c r="E60" s="4" t="s">
        <v>23</v>
      </c>
      <c r="F60" s="5">
        <v>82670.929999999993</v>
      </c>
      <c r="G60" s="5">
        <v>22097.66</v>
      </c>
      <c r="H60" s="4">
        <v>4</v>
      </c>
      <c r="I60" s="6">
        <f t="shared" si="2"/>
        <v>330683.71999999997</v>
      </c>
      <c r="J60" s="7">
        <f t="shared" si="3"/>
        <v>26.729661804941596</v>
      </c>
    </row>
    <row r="61" spans="1:10" x14ac:dyDescent="0.25">
      <c r="A61" s="1" t="s">
        <v>159</v>
      </c>
      <c r="B61" s="1" t="s">
        <v>160</v>
      </c>
      <c r="C61" s="1" t="s">
        <v>39</v>
      </c>
      <c r="D61" s="1" t="s">
        <v>26</v>
      </c>
      <c r="E61" s="1" t="s">
        <v>23</v>
      </c>
      <c r="F61" s="8">
        <v>107292.11</v>
      </c>
      <c r="G61" s="8">
        <v>29266.75</v>
      </c>
      <c r="H61" s="1">
        <v>4</v>
      </c>
      <c r="I61" s="9">
        <f t="shared" si="2"/>
        <v>429168.44</v>
      </c>
      <c r="J61" s="10">
        <f t="shared" si="3"/>
        <v>27.277634860568966</v>
      </c>
    </row>
    <row r="62" spans="1:10" x14ac:dyDescent="0.25">
      <c r="A62" s="4" t="s">
        <v>161</v>
      </c>
      <c r="B62" s="4" t="s">
        <v>162</v>
      </c>
      <c r="C62" s="4" t="s">
        <v>40</v>
      </c>
      <c r="D62" s="4" t="s">
        <v>22</v>
      </c>
      <c r="E62" s="4" t="s">
        <v>23</v>
      </c>
      <c r="F62" s="5">
        <v>235645.4</v>
      </c>
      <c r="G62" s="5">
        <v>54986.23</v>
      </c>
      <c r="H62" s="4">
        <v>3</v>
      </c>
      <c r="I62" s="6">
        <f t="shared" si="2"/>
        <v>706936.2</v>
      </c>
      <c r="J62" s="7">
        <f t="shared" si="3"/>
        <v>23.334310790705018</v>
      </c>
    </row>
    <row r="63" spans="1:10" x14ac:dyDescent="0.25">
      <c r="A63" s="1" t="s">
        <v>163</v>
      </c>
      <c r="B63" s="1" t="s">
        <v>164</v>
      </c>
      <c r="C63" s="1" t="s">
        <v>40</v>
      </c>
      <c r="D63" s="1" t="s">
        <v>25</v>
      </c>
      <c r="E63" s="1" t="s">
        <v>23</v>
      </c>
      <c r="F63" s="8">
        <v>93183.96</v>
      </c>
      <c r="G63" s="8">
        <v>29707.67</v>
      </c>
      <c r="H63" s="1">
        <v>5</v>
      </c>
      <c r="I63" s="9">
        <f t="shared" si="2"/>
        <v>465919.80000000005</v>
      </c>
      <c r="J63" s="10">
        <f t="shared" si="3"/>
        <v>31.880669162375153</v>
      </c>
    </row>
    <row r="64" spans="1:10" x14ac:dyDescent="0.25">
      <c r="A64" s="4" t="s">
        <v>165</v>
      </c>
      <c r="B64" s="4" t="s">
        <v>166</v>
      </c>
      <c r="C64" s="4" t="s">
        <v>37</v>
      </c>
      <c r="D64" s="4" t="s">
        <v>27</v>
      </c>
      <c r="E64" s="4" t="s">
        <v>28</v>
      </c>
      <c r="F64" s="5">
        <v>67673.850000000006</v>
      </c>
      <c r="G64" s="5">
        <v>24808.57</v>
      </c>
      <c r="H64" s="4">
        <v>4</v>
      </c>
      <c r="I64" s="6">
        <f t="shared" si="2"/>
        <v>270695.40000000002</v>
      </c>
      <c r="J64" s="7">
        <f t="shared" si="3"/>
        <v>36.659019695199838</v>
      </c>
    </row>
    <row r="65" spans="1:10" x14ac:dyDescent="0.25">
      <c r="A65" s="1" t="s">
        <v>167</v>
      </c>
      <c r="B65" s="1" t="s">
        <v>168</v>
      </c>
      <c r="C65" s="1" t="s">
        <v>37</v>
      </c>
      <c r="D65" s="1" t="s">
        <v>25</v>
      </c>
      <c r="E65" s="1" t="s">
        <v>23</v>
      </c>
      <c r="F65" s="8">
        <v>72378.63</v>
      </c>
      <c r="G65" s="8">
        <v>21327.02</v>
      </c>
      <c r="H65" s="1">
        <v>4</v>
      </c>
      <c r="I65" s="9">
        <f t="shared" si="2"/>
        <v>289514.52</v>
      </c>
      <c r="J65" s="10">
        <f t="shared" si="3"/>
        <v>29.465907271248433</v>
      </c>
    </row>
    <row r="66" spans="1:10" x14ac:dyDescent="0.25">
      <c r="A66" s="4" t="s">
        <v>169</v>
      </c>
      <c r="B66" s="4" t="s">
        <v>108</v>
      </c>
      <c r="C66" s="4" t="s">
        <v>37</v>
      </c>
      <c r="D66" s="4" t="s">
        <v>24</v>
      </c>
      <c r="E66" s="4" t="s">
        <v>23</v>
      </c>
      <c r="F66" s="5">
        <v>169790.11</v>
      </c>
      <c r="G66" s="5">
        <v>47594.06</v>
      </c>
      <c r="H66" s="4">
        <v>5</v>
      </c>
      <c r="I66" s="6">
        <f t="shared" ref="I66:I97" si="4">F66*H66</f>
        <v>848950.54999999993</v>
      </c>
      <c r="J66" s="7">
        <f t="shared" ref="J66:J97" si="5">IF(F66=0,0,G66/F66*100)</f>
        <v>28.031114415321362</v>
      </c>
    </row>
    <row r="67" spans="1:10" x14ac:dyDescent="0.25">
      <c r="A67" s="1" t="s">
        <v>170</v>
      </c>
      <c r="B67" s="1" t="s">
        <v>171</v>
      </c>
      <c r="C67" s="1" t="s">
        <v>37</v>
      </c>
      <c r="D67" s="1" t="s">
        <v>24</v>
      </c>
      <c r="E67" s="1" t="s">
        <v>23</v>
      </c>
      <c r="F67" s="8">
        <v>163749.87</v>
      </c>
      <c r="G67" s="8">
        <v>52125.34</v>
      </c>
      <c r="H67" s="1">
        <v>5</v>
      </c>
      <c r="I67" s="9">
        <f t="shared" si="4"/>
        <v>818749.35</v>
      </c>
      <c r="J67" s="10">
        <f t="shared" si="5"/>
        <v>31.832293973729563</v>
      </c>
    </row>
    <row r="68" spans="1:10" x14ac:dyDescent="0.25">
      <c r="A68" s="4" t="s">
        <v>172</v>
      </c>
      <c r="B68" s="4" t="s">
        <v>166</v>
      </c>
      <c r="C68" s="4" t="s">
        <v>37</v>
      </c>
      <c r="D68" s="4" t="s">
        <v>24</v>
      </c>
      <c r="E68" s="4" t="s">
        <v>23</v>
      </c>
      <c r="F68" s="5">
        <v>345419.46</v>
      </c>
      <c r="G68" s="5">
        <v>99570.9</v>
      </c>
      <c r="H68" s="4">
        <v>10</v>
      </c>
      <c r="I68" s="6">
        <f t="shared" si="4"/>
        <v>3454194.6</v>
      </c>
      <c r="J68" s="7">
        <f t="shared" si="5"/>
        <v>28.826082931170117</v>
      </c>
    </row>
    <row r="69" spans="1:10" x14ac:dyDescent="0.25">
      <c r="A69" s="1" t="s">
        <v>173</v>
      </c>
      <c r="B69" s="1" t="s">
        <v>174</v>
      </c>
      <c r="C69" s="1" t="s">
        <v>38</v>
      </c>
      <c r="D69" s="1" t="s">
        <v>24</v>
      </c>
      <c r="E69" s="1" t="s">
        <v>23</v>
      </c>
      <c r="F69" s="8">
        <v>264575.73</v>
      </c>
      <c r="G69" s="8">
        <v>62161.1</v>
      </c>
      <c r="H69" s="1">
        <v>7</v>
      </c>
      <c r="I69" s="9">
        <f t="shared" si="4"/>
        <v>1852030.1099999999</v>
      </c>
      <c r="J69" s="10">
        <f t="shared" si="5"/>
        <v>23.494634220606706</v>
      </c>
    </row>
    <row r="70" spans="1:10" x14ac:dyDescent="0.25">
      <c r="A70" s="4" t="s">
        <v>175</v>
      </c>
      <c r="B70" s="4" t="s">
        <v>176</v>
      </c>
      <c r="C70" s="4" t="s">
        <v>39</v>
      </c>
      <c r="D70" s="4" t="s">
        <v>29</v>
      </c>
      <c r="E70" s="4" t="s">
        <v>30</v>
      </c>
      <c r="F70" s="5">
        <v>5019.92</v>
      </c>
      <c r="G70" s="5">
        <v>2022.6</v>
      </c>
      <c r="H70" s="4">
        <v>1</v>
      </c>
      <c r="I70" s="6">
        <f t="shared" si="4"/>
        <v>5019.92</v>
      </c>
      <c r="J70" s="7">
        <f t="shared" si="5"/>
        <v>40.291478748665313</v>
      </c>
    </row>
    <row r="71" spans="1:10" x14ac:dyDescent="0.25">
      <c r="A71" s="1" t="s">
        <v>177</v>
      </c>
      <c r="B71" s="1" t="s">
        <v>178</v>
      </c>
      <c r="C71" s="1" t="s">
        <v>37</v>
      </c>
      <c r="D71" s="1" t="s">
        <v>29</v>
      </c>
      <c r="E71" s="1" t="s">
        <v>30</v>
      </c>
      <c r="F71" s="8">
        <v>10897.75</v>
      </c>
      <c r="G71" s="8">
        <v>4136.62</v>
      </c>
      <c r="H71" s="1">
        <v>2</v>
      </c>
      <c r="I71" s="9">
        <f t="shared" si="4"/>
        <v>21795.5</v>
      </c>
      <c r="J71" s="10">
        <f t="shared" si="5"/>
        <v>37.95847766740841</v>
      </c>
    </row>
    <row r="72" spans="1:10" x14ac:dyDescent="0.25">
      <c r="A72" s="4" t="s">
        <v>179</v>
      </c>
      <c r="B72" s="4" t="s">
        <v>180</v>
      </c>
      <c r="C72" s="4" t="s">
        <v>37</v>
      </c>
      <c r="D72" s="4" t="s">
        <v>24</v>
      </c>
      <c r="E72" s="4" t="s">
        <v>23</v>
      </c>
      <c r="F72" s="5">
        <v>175249.29</v>
      </c>
      <c r="G72" s="5">
        <v>49168.93</v>
      </c>
      <c r="H72" s="4">
        <v>5</v>
      </c>
      <c r="I72" s="6">
        <f t="shared" si="4"/>
        <v>876246.45000000007</v>
      </c>
      <c r="J72" s="7">
        <f t="shared" si="5"/>
        <v>28.056564451701917</v>
      </c>
    </row>
    <row r="73" spans="1:10" x14ac:dyDescent="0.25">
      <c r="A73" s="1" t="s">
        <v>181</v>
      </c>
      <c r="B73" s="1" t="s">
        <v>131</v>
      </c>
      <c r="C73" s="1" t="s">
        <v>40</v>
      </c>
      <c r="D73" s="1" t="s">
        <v>31</v>
      </c>
      <c r="E73" s="1" t="s">
        <v>30</v>
      </c>
      <c r="F73" s="8">
        <v>16658.240000000002</v>
      </c>
      <c r="G73" s="8">
        <v>6725.44</v>
      </c>
      <c r="H73" s="1">
        <v>9</v>
      </c>
      <c r="I73" s="9">
        <f t="shared" si="4"/>
        <v>149924.16</v>
      </c>
      <c r="J73" s="10">
        <f t="shared" si="5"/>
        <v>40.373052615402344</v>
      </c>
    </row>
    <row r="74" spans="1:10" x14ac:dyDescent="0.25">
      <c r="A74" s="4" t="s">
        <v>182</v>
      </c>
      <c r="B74" s="4" t="s">
        <v>183</v>
      </c>
      <c r="C74" s="4" t="s">
        <v>38</v>
      </c>
      <c r="D74" s="4" t="s">
        <v>26</v>
      </c>
      <c r="E74" s="4" t="s">
        <v>23</v>
      </c>
      <c r="F74" s="5">
        <v>253455.26</v>
      </c>
      <c r="G74" s="5">
        <v>65185.05</v>
      </c>
      <c r="H74" s="4">
        <v>10</v>
      </c>
      <c r="I74" s="6">
        <f t="shared" si="4"/>
        <v>2534552.6</v>
      </c>
      <c r="J74" s="7">
        <f t="shared" si="5"/>
        <v>25.718562715960207</v>
      </c>
    </row>
    <row r="75" spans="1:10" x14ac:dyDescent="0.25">
      <c r="A75" s="1" t="s">
        <v>184</v>
      </c>
      <c r="B75" s="1" t="s">
        <v>185</v>
      </c>
      <c r="C75" s="1" t="s">
        <v>37</v>
      </c>
      <c r="D75" s="1" t="s">
        <v>31</v>
      </c>
      <c r="E75" s="1" t="s">
        <v>30</v>
      </c>
      <c r="F75" s="8">
        <v>7887.82</v>
      </c>
      <c r="G75" s="8">
        <v>3091.19</v>
      </c>
      <c r="H75" s="1">
        <v>4</v>
      </c>
      <c r="I75" s="9">
        <f t="shared" si="4"/>
        <v>31551.279999999999</v>
      </c>
      <c r="J75" s="10">
        <f t="shared" si="5"/>
        <v>39.189408480416645</v>
      </c>
    </row>
    <row r="76" spans="1:10" x14ac:dyDescent="0.25">
      <c r="A76" s="4" t="s">
        <v>186</v>
      </c>
      <c r="B76" s="4" t="s">
        <v>187</v>
      </c>
      <c r="C76" s="4" t="s">
        <v>39</v>
      </c>
      <c r="D76" s="4" t="s">
        <v>27</v>
      </c>
      <c r="E76" s="4" t="s">
        <v>28</v>
      </c>
      <c r="F76" s="5">
        <v>149058.06</v>
      </c>
      <c r="G76" s="5">
        <v>45707.27</v>
      </c>
      <c r="H76" s="4">
        <v>8</v>
      </c>
      <c r="I76" s="6">
        <f t="shared" si="4"/>
        <v>1192464.48</v>
      </c>
      <c r="J76" s="7">
        <f t="shared" si="5"/>
        <v>30.664071436324882</v>
      </c>
    </row>
    <row r="77" spans="1:10" x14ac:dyDescent="0.25">
      <c r="A77" s="1" t="s">
        <v>188</v>
      </c>
      <c r="B77" s="1" t="s">
        <v>189</v>
      </c>
      <c r="C77" s="1" t="s">
        <v>37</v>
      </c>
      <c r="D77" s="1" t="s">
        <v>24</v>
      </c>
      <c r="E77" s="1" t="s">
        <v>23</v>
      </c>
      <c r="F77" s="8">
        <v>175540.82</v>
      </c>
      <c r="G77" s="8">
        <v>48829.41</v>
      </c>
      <c r="H77" s="1">
        <v>5</v>
      </c>
      <c r="I77" s="9">
        <f t="shared" si="4"/>
        <v>877704.10000000009</v>
      </c>
      <c r="J77" s="10">
        <f t="shared" si="5"/>
        <v>27.816555716214612</v>
      </c>
    </row>
    <row r="78" spans="1:10" x14ac:dyDescent="0.25">
      <c r="A78" s="4" t="s">
        <v>190</v>
      </c>
      <c r="B78" s="4" t="s">
        <v>120</v>
      </c>
      <c r="C78" s="4" t="s">
        <v>38</v>
      </c>
      <c r="D78" s="4" t="s">
        <v>25</v>
      </c>
      <c r="E78" s="4" t="s">
        <v>23</v>
      </c>
      <c r="F78" s="5">
        <v>94492.81</v>
      </c>
      <c r="G78" s="5">
        <v>26694.78</v>
      </c>
      <c r="H78" s="4">
        <v>5</v>
      </c>
      <c r="I78" s="6">
        <f t="shared" si="4"/>
        <v>472464.05</v>
      </c>
      <c r="J78" s="7">
        <f t="shared" si="5"/>
        <v>28.250593881164082</v>
      </c>
    </row>
    <row r="79" spans="1:10" x14ac:dyDescent="0.25">
      <c r="A79" s="1" t="s">
        <v>191</v>
      </c>
      <c r="B79" s="1" t="s">
        <v>192</v>
      </c>
      <c r="C79" s="1" t="s">
        <v>40</v>
      </c>
      <c r="D79" s="1" t="s">
        <v>25</v>
      </c>
      <c r="E79" s="1" t="s">
        <v>23</v>
      </c>
      <c r="F79" s="8">
        <v>163560.76999999999</v>
      </c>
      <c r="G79" s="8">
        <v>48177.5</v>
      </c>
      <c r="H79" s="1">
        <v>8</v>
      </c>
      <c r="I79" s="9">
        <f t="shared" si="4"/>
        <v>1308486.1599999999</v>
      </c>
      <c r="J79" s="10">
        <f t="shared" si="5"/>
        <v>29.455412810785862</v>
      </c>
    </row>
    <row r="80" spans="1:10" x14ac:dyDescent="0.25">
      <c r="A80" s="4" t="s">
        <v>193</v>
      </c>
      <c r="B80" s="4" t="s">
        <v>194</v>
      </c>
      <c r="C80" s="4" t="s">
        <v>38</v>
      </c>
      <c r="D80" s="4" t="s">
        <v>25</v>
      </c>
      <c r="E80" s="4" t="s">
        <v>23</v>
      </c>
      <c r="F80" s="5">
        <v>139842.56</v>
      </c>
      <c r="G80" s="5">
        <v>37749.47</v>
      </c>
      <c r="H80" s="4">
        <v>7</v>
      </c>
      <c r="I80" s="6">
        <f t="shared" si="4"/>
        <v>978897.91999999993</v>
      </c>
      <c r="J80" s="7">
        <f t="shared" si="5"/>
        <v>26.994264121022958</v>
      </c>
    </row>
    <row r="81" spans="1:10" x14ac:dyDescent="0.25">
      <c r="A81" s="1" t="s">
        <v>195</v>
      </c>
      <c r="B81" s="1" t="s">
        <v>196</v>
      </c>
      <c r="C81" s="1" t="s">
        <v>40</v>
      </c>
      <c r="D81" s="1" t="s">
        <v>29</v>
      </c>
      <c r="E81" s="1" t="s">
        <v>30</v>
      </c>
      <c r="F81" s="8">
        <v>18703.55</v>
      </c>
      <c r="G81" s="8">
        <v>8332.75</v>
      </c>
      <c r="H81" s="1">
        <v>4</v>
      </c>
      <c r="I81" s="9">
        <f t="shared" si="4"/>
        <v>74814.2</v>
      </c>
      <c r="J81" s="10">
        <f t="shared" si="5"/>
        <v>44.551702751616673</v>
      </c>
    </row>
    <row r="82" spans="1:10" x14ac:dyDescent="0.25">
      <c r="A82" s="4" t="s">
        <v>197</v>
      </c>
      <c r="B82" s="4" t="s">
        <v>198</v>
      </c>
      <c r="C82" s="4" t="s">
        <v>37</v>
      </c>
      <c r="D82" s="4" t="s">
        <v>25</v>
      </c>
      <c r="E82" s="4" t="s">
        <v>23</v>
      </c>
      <c r="F82" s="5">
        <v>39651.69</v>
      </c>
      <c r="G82" s="5">
        <v>12123.4</v>
      </c>
      <c r="H82" s="4">
        <v>2</v>
      </c>
      <c r="I82" s="6">
        <f t="shared" si="4"/>
        <v>79303.38</v>
      </c>
      <c r="J82" s="7">
        <f t="shared" si="5"/>
        <v>30.574737167570916</v>
      </c>
    </row>
    <row r="83" spans="1:10" x14ac:dyDescent="0.25">
      <c r="A83" s="1" t="s">
        <v>199</v>
      </c>
      <c r="B83" s="1" t="s">
        <v>200</v>
      </c>
      <c r="C83" s="1" t="s">
        <v>40</v>
      </c>
      <c r="D83" s="1" t="s">
        <v>29</v>
      </c>
      <c r="E83" s="1" t="s">
        <v>30</v>
      </c>
      <c r="F83" s="8">
        <v>44513.22</v>
      </c>
      <c r="G83" s="8">
        <v>15872.97</v>
      </c>
      <c r="H83" s="1">
        <v>9</v>
      </c>
      <c r="I83" s="9">
        <f t="shared" si="4"/>
        <v>400618.98</v>
      </c>
      <c r="J83" s="10">
        <f t="shared" si="5"/>
        <v>35.659001977390083</v>
      </c>
    </row>
    <row r="84" spans="1:10" x14ac:dyDescent="0.25">
      <c r="A84" s="4" t="s">
        <v>201</v>
      </c>
      <c r="B84" s="4" t="s">
        <v>202</v>
      </c>
      <c r="C84" s="4" t="s">
        <v>40</v>
      </c>
      <c r="D84" s="4" t="s">
        <v>31</v>
      </c>
      <c r="E84" s="4" t="s">
        <v>30</v>
      </c>
      <c r="F84" s="5">
        <v>8543.7800000000007</v>
      </c>
      <c r="G84" s="5">
        <v>2897.48</v>
      </c>
      <c r="H84" s="4">
        <v>4</v>
      </c>
      <c r="I84" s="6">
        <f t="shared" si="4"/>
        <v>34175.120000000003</v>
      </c>
      <c r="J84" s="7">
        <f t="shared" si="5"/>
        <v>33.913326419921859</v>
      </c>
    </row>
    <row r="85" spans="1:10" x14ac:dyDescent="0.25">
      <c r="A85" s="1" t="s">
        <v>203</v>
      </c>
      <c r="B85" s="1" t="s">
        <v>204</v>
      </c>
      <c r="C85" s="1" t="s">
        <v>39</v>
      </c>
      <c r="D85" s="1" t="s">
        <v>25</v>
      </c>
      <c r="E85" s="1" t="s">
        <v>23</v>
      </c>
      <c r="F85" s="8">
        <v>98797.45</v>
      </c>
      <c r="G85" s="8">
        <v>29781.27</v>
      </c>
      <c r="H85" s="1">
        <v>5</v>
      </c>
      <c r="I85" s="9">
        <f t="shared" si="4"/>
        <v>493987.25</v>
      </c>
      <c r="J85" s="10">
        <f t="shared" si="5"/>
        <v>30.143763831961252</v>
      </c>
    </row>
    <row r="86" spans="1:10" x14ac:dyDescent="0.25">
      <c r="A86" s="4" t="s">
        <v>205</v>
      </c>
      <c r="B86" s="4" t="s">
        <v>206</v>
      </c>
      <c r="C86" s="4" t="s">
        <v>39</v>
      </c>
      <c r="D86" s="4" t="s">
        <v>32</v>
      </c>
      <c r="E86" s="4" t="s">
        <v>30</v>
      </c>
      <c r="F86" s="5">
        <v>9707.4500000000007</v>
      </c>
      <c r="G86" s="5">
        <v>3118.02</v>
      </c>
      <c r="H86" s="4">
        <v>6</v>
      </c>
      <c r="I86" s="6">
        <f t="shared" si="4"/>
        <v>58244.700000000004</v>
      </c>
      <c r="J86" s="7">
        <f t="shared" si="5"/>
        <v>32.119866700317793</v>
      </c>
    </row>
    <row r="87" spans="1:10" x14ac:dyDescent="0.25">
      <c r="A87" s="1" t="s">
        <v>207</v>
      </c>
      <c r="B87" s="1" t="s">
        <v>208</v>
      </c>
      <c r="C87" s="1" t="s">
        <v>40</v>
      </c>
      <c r="D87" s="1" t="s">
        <v>29</v>
      </c>
      <c r="E87" s="1" t="s">
        <v>30</v>
      </c>
      <c r="F87" s="8">
        <v>15619.26</v>
      </c>
      <c r="G87" s="8">
        <v>5177.07</v>
      </c>
      <c r="H87" s="1">
        <v>3</v>
      </c>
      <c r="I87" s="9">
        <f t="shared" si="4"/>
        <v>46857.78</v>
      </c>
      <c r="J87" s="10">
        <f t="shared" si="5"/>
        <v>33.145424303071977</v>
      </c>
    </row>
    <row r="88" spans="1:10" x14ac:dyDescent="0.25">
      <c r="A88" s="4" t="s">
        <v>209</v>
      </c>
      <c r="B88" s="4" t="s">
        <v>210</v>
      </c>
      <c r="C88" s="4" t="s">
        <v>40</v>
      </c>
      <c r="D88" s="4" t="s">
        <v>27</v>
      </c>
      <c r="E88" s="4" t="s">
        <v>28</v>
      </c>
      <c r="F88" s="5">
        <v>114969.1</v>
      </c>
      <c r="G88" s="5">
        <v>42696.29</v>
      </c>
      <c r="H88" s="4">
        <v>7</v>
      </c>
      <c r="I88" s="6">
        <f t="shared" si="4"/>
        <v>804783.70000000007</v>
      </c>
      <c r="J88" s="7">
        <f t="shared" si="5"/>
        <v>37.137187296412691</v>
      </c>
    </row>
    <row r="89" spans="1:10" x14ac:dyDescent="0.25">
      <c r="A89" s="1" t="s">
        <v>211</v>
      </c>
      <c r="B89" s="1" t="s">
        <v>212</v>
      </c>
      <c r="C89" s="1" t="s">
        <v>37</v>
      </c>
      <c r="D89" s="1" t="s">
        <v>22</v>
      </c>
      <c r="E89" s="1" t="s">
        <v>23</v>
      </c>
      <c r="F89" s="8">
        <v>732057.15</v>
      </c>
      <c r="G89" s="8">
        <v>170235.84</v>
      </c>
      <c r="H89" s="1">
        <v>10</v>
      </c>
      <c r="I89" s="9">
        <f t="shared" si="4"/>
        <v>7320571.5</v>
      </c>
      <c r="J89" s="10">
        <f t="shared" si="5"/>
        <v>23.254446732744842</v>
      </c>
    </row>
    <row r="90" spans="1:10" x14ac:dyDescent="0.25">
      <c r="A90" s="4" t="s">
        <v>213</v>
      </c>
      <c r="B90" s="4" t="s">
        <v>214</v>
      </c>
      <c r="C90" s="4" t="s">
        <v>39</v>
      </c>
      <c r="D90" s="4" t="s">
        <v>29</v>
      </c>
      <c r="E90" s="4" t="s">
        <v>30</v>
      </c>
      <c r="F90" s="5">
        <v>35267.54</v>
      </c>
      <c r="G90" s="5">
        <v>13956.98</v>
      </c>
      <c r="H90" s="4">
        <v>7</v>
      </c>
      <c r="I90" s="6">
        <f t="shared" si="4"/>
        <v>246872.78</v>
      </c>
      <c r="J90" s="7">
        <f t="shared" si="5"/>
        <v>39.57457764278427</v>
      </c>
    </row>
    <row r="91" spans="1:10" x14ac:dyDescent="0.25">
      <c r="A91" s="1" t="s">
        <v>215</v>
      </c>
      <c r="B91" s="1" t="s">
        <v>216</v>
      </c>
      <c r="C91" s="1" t="s">
        <v>37</v>
      </c>
      <c r="D91" s="1" t="s">
        <v>25</v>
      </c>
      <c r="E91" s="1" t="s">
        <v>23</v>
      </c>
      <c r="F91" s="8">
        <v>98716.72</v>
      </c>
      <c r="G91" s="8">
        <v>25674.15</v>
      </c>
      <c r="H91" s="1">
        <v>5</v>
      </c>
      <c r="I91" s="9">
        <f t="shared" si="4"/>
        <v>493583.6</v>
      </c>
      <c r="J91" s="10">
        <f t="shared" si="5"/>
        <v>26.007904233446983</v>
      </c>
    </row>
    <row r="92" spans="1:10" x14ac:dyDescent="0.25">
      <c r="A92" s="4" t="s">
        <v>217</v>
      </c>
      <c r="B92" s="4" t="s">
        <v>164</v>
      </c>
      <c r="C92" s="4" t="s">
        <v>38</v>
      </c>
      <c r="D92" s="4" t="s">
        <v>29</v>
      </c>
      <c r="E92" s="4" t="s">
        <v>30</v>
      </c>
      <c r="F92" s="5">
        <v>16021.52</v>
      </c>
      <c r="G92" s="5">
        <v>6203.45</v>
      </c>
      <c r="H92" s="4">
        <v>3</v>
      </c>
      <c r="I92" s="6">
        <f t="shared" si="4"/>
        <v>48064.56</v>
      </c>
      <c r="J92" s="7">
        <f t="shared" si="5"/>
        <v>38.719484792953473</v>
      </c>
    </row>
    <row r="93" spans="1:10" x14ac:dyDescent="0.25">
      <c r="A93" s="1" t="s">
        <v>218</v>
      </c>
      <c r="B93" s="1" t="s">
        <v>219</v>
      </c>
      <c r="C93" s="1" t="s">
        <v>40</v>
      </c>
      <c r="D93" s="1" t="s">
        <v>22</v>
      </c>
      <c r="E93" s="1" t="s">
        <v>23</v>
      </c>
      <c r="F93" s="8">
        <v>154282.49</v>
      </c>
      <c r="G93" s="8">
        <v>35085.599999999999</v>
      </c>
      <c r="H93" s="1">
        <v>2</v>
      </c>
      <c r="I93" s="9">
        <f t="shared" si="4"/>
        <v>308564.98</v>
      </c>
      <c r="J93" s="10">
        <f t="shared" si="5"/>
        <v>22.741141914419451</v>
      </c>
    </row>
    <row r="94" spans="1:10" x14ac:dyDescent="0.25">
      <c r="A94" s="4" t="s">
        <v>220</v>
      </c>
      <c r="B94" s="4" t="s">
        <v>221</v>
      </c>
      <c r="C94" s="4" t="s">
        <v>37</v>
      </c>
      <c r="D94" s="4" t="s">
        <v>22</v>
      </c>
      <c r="E94" s="4" t="s">
        <v>23</v>
      </c>
      <c r="F94" s="5">
        <v>365932.79</v>
      </c>
      <c r="G94" s="5">
        <v>89233.21</v>
      </c>
      <c r="H94" s="4">
        <v>5</v>
      </c>
      <c r="I94" s="6">
        <f t="shared" si="4"/>
        <v>1829663.95</v>
      </c>
      <c r="J94" s="7">
        <f t="shared" si="5"/>
        <v>24.385136407152803</v>
      </c>
    </row>
    <row r="95" spans="1:10" x14ac:dyDescent="0.25">
      <c r="A95" s="1" t="s">
        <v>222</v>
      </c>
      <c r="B95" s="1" t="s">
        <v>223</v>
      </c>
      <c r="C95" s="1" t="s">
        <v>37</v>
      </c>
      <c r="D95" s="1" t="s">
        <v>29</v>
      </c>
      <c r="E95" s="1" t="s">
        <v>30</v>
      </c>
      <c r="F95" s="8">
        <v>26260.05</v>
      </c>
      <c r="G95" s="8">
        <v>10163.85</v>
      </c>
      <c r="H95" s="1">
        <v>5</v>
      </c>
      <c r="I95" s="9">
        <f t="shared" si="4"/>
        <v>131300.25</v>
      </c>
      <c r="J95" s="10">
        <f t="shared" si="5"/>
        <v>38.704610234938627</v>
      </c>
    </row>
    <row r="96" spans="1:10" x14ac:dyDescent="0.25">
      <c r="A96" s="4" t="s">
        <v>224</v>
      </c>
      <c r="B96" s="4" t="s">
        <v>225</v>
      </c>
      <c r="C96" s="4" t="s">
        <v>37</v>
      </c>
      <c r="D96" s="4" t="s">
        <v>27</v>
      </c>
      <c r="E96" s="4" t="s">
        <v>28</v>
      </c>
      <c r="F96" s="5">
        <v>18896.490000000002</v>
      </c>
      <c r="G96" s="5">
        <v>5162.5</v>
      </c>
      <c r="H96" s="4">
        <v>1</v>
      </c>
      <c r="I96" s="6">
        <f t="shared" si="4"/>
        <v>18896.490000000002</v>
      </c>
      <c r="J96" s="7">
        <f t="shared" si="5"/>
        <v>27.319888508394939</v>
      </c>
    </row>
    <row r="97" spans="1:10" x14ac:dyDescent="0.25">
      <c r="A97" s="1" t="s">
        <v>226</v>
      </c>
      <c r="B97" s="1" t="s">
        <v>227</v>
      </c>
      <c r="C97" s="1" t="s">
        <v>39</v>
      </c>
      <c r="D97" s="1" t="s">
        <v>24</v>
      </c>
      <c r="E97" s="1" t="s">
        <v>23</v>
      </c>
      <c r="F97" s="8">
        <v>36779.629999999997</v>
      </c>
      <c r="G97" s="8">
        <v>10399.219999999999</v>
      </c>
      <c r="H97" s="1">
        <v>1</v>
      </c>
      <c r="I97" s="9">
        <f t="shared" si="4"/>
        <v>36779.629999999997</v>
      </c>
      <c r="J97" s="10">
        <f t="shared" si="5"/>
        <v>28.274400802835704</v>
      </c>
    </row>
    <row r="98" spans="1:10" x14ac:dyDescent="0.25">
      <c r="A98" s="4" t="s">
        <v>228</v>
      </c>
      <c r="B98" s="4" t="s">
        <v>229</v>
      </c>
      <c r="C98" s="4" t="s">
        <v>39</v>
      </c>
      <c r="D98" s="4" t="s">
        <v>26</v>
      </c>
      <c r="E98" s="4" t="s">
        <v>23</v>
      </c>
      <c r="F98" s="5">
        <v>92524.42</v>
      </c>
      <c r="G98" s="5">
        <v>27548.97</v>
      </c>
      <c r="H98" s="4">
        <v>4</v>
      </c>
      <c r="I98" s="6">
        <f t="shared" ref="I98:I129" si="6">F98*H98</f>
        <v>370097.68</v>
      </c>
      <c r="J98" s="7">
        <f t="shared" ref="J98:J129" si="7">IF(F98=0,0,G98/F98*100)</f>
        <v>29.774809720504059</v>
      </c>
    </row>
    <row r="99" spans="1:10" x14ac:dyDescent="0.25">
      <c r="A99" s="1" t="s">
        <v>230</v>
      </c>
      <c r="B99" s="1" t="s">
        <v>187</v>
      </c>
      <c r="C99" s="1" t="s">
        <v>38</v>
      </c>
      <c r="D99" s="1" t="s">
        <v>31</v>
      </c>
      <c r="E99" s="1" t="s">
        <v>30</v>
      </c>
      <c r="F99" s="8">
        <v>11202.69</v>
      </c>
      <c r="G99" s="8">
        <v>4662.96</v>
      </c>
      <c r="H99" s="1">
        <v>6</v>
      </c>
      <c r="I99" s="9">
        <f t="shared" si="6"/>
        <v>67216.14</v>
      </c>
      <c r="J99" s="10">
        <f t="shared" si="7"/>
        <v>41.623574337949186</v>
      </c>
    </row>
    <row r="100" spans="1:10" x14ac:dyDescent="0.25">
      <c r="A100" s="4" t="s">
        <v>231</v>
      </c>
      <c r="B100" s="4" t="s">
        <v>67</v>
      </c>
      <c r="C100" s="4" t="s">
        <v>40</v>
      </c>
      <c r="D100" s="4" t="s">
        <v>31</v>
      </c>
      <c r="E100" s="4" t="s">
        <v>30</v>
      </c>
      <c r="F100" s="5">
        <v>4062.95</v>
      </c>
      <c r="G100" s="5">
        <v>1657.24</v>
      </c>
      <c r="H100" s="4">
        <v>2</v>
      </c>
      <c r="I100" s="6">
        <f t="shared" si="6"/>
        <v>8125.9</v>
      </c>
      <c r="J100" s="7">
        <f t="shared" si="7"/>
        <v>40.789081824782485</v>
      </c>
    </row>
    <row r="101" spans="1:10" x14ac:dyDescent="0.25">
      <c r="A101" s="1" t="s">
        <v>232</v>
      </c>
      <c r="B101" s="1" t="s">
        <v>233</v>
      </c>
      <c r="C101" s="1" t="s">
        <v>39</v>
      </c>
      <c r="D101" s="1" t="s">
        <v>25</v>
      </c>
      <c r="E101" s="1" t="s">
        <v>23</v>
      </c>
      <c r="F101" s="8">
        <v>40736.78</v>
      </c>
      <c r="G101" s="8">
        <v>12193.37</v>
      </c>
      <c r="H101" s="1">
        <v>2</v>
      </c>
      <c r="I101" s="9">
        <f t="shared" si="6"/>
        <v>81473.56</v>
      </c>
      <c r="J101" s="10">
        <f t="shared" si="7"/>
        <v>29.932090852541616</v>
      </c>
    </row>
    <row r="102" spans="1:10" x14ac:dyDescent="0.25">
      <c r="A102" s="4" t="s">
        <v>234</v>
      </c>
      <c r="B102" s="4" t="s">
        <v>51</v>
      </c>
      <c r="C102" s="4" t="s">
        <v>38</v>
      </c>
      <c r="D102" s="4" t="s">
        <v>31</v>
      </c>
      <c r="E102" s="4" t="s">
        <v>30</v>
      </c>
      <c r="F102" s="5">
        <v>21222.11</v>
      </c>
      <c r="G102" s="5">
        <v>8073.96</v>
      </c>
      <c r="H102" s="4">
        <v>10</v>
      </c>
      <c r="I102" s="6">
        <f t="shared" si="6"/>
        <v>212221.1</v>
      </c>
      <c r="J102" s="7">
        <f t="shared" si="7"/>
        <v>38.045038876907149</v>
      </c>
    </row>
    <row r="103" spans="1:10" x14ac:dyDescent="0.25">
      <c r="A103" s="1" t="s">
        <v>235</v>
      </c>
      <c r="B103" s="1" t="s">
        <v>236</v>
      </c>
      <c r="C103" s="1" t="s">
        <v>38</v>
      </c>
      <c r="D103" s="1" t="s">
        <v>29</v>
      </c>
      <c r="E103" s="1" t="s">
        <v>30</v>
      </c>
      <c r="F103" s="8">
        <v>27413.74</v>
      </c>
      <c r="G103" s="8">
        <v>11754.1</v>
      </c>
      <c r="H103" s="1">
        <v>6</v>
      </c>
      <c r="I103" s="9">
        <f t="shared" si="6"/>
        <v>164482.44</v>
      </c>
      <c r="J103" s="10">
        <f t="shared" si="7"/>
        <v>42.876674251670877</v>
      </c>
    </row>
    <row r="104" spans="1:10" x14ac:dyDescent="0.25">
      <c r="A104" s="4" t="s">
        <v>237</v>
      </c>
      <c r="B104" s="4" t="s">
        <v>238</v>
      </c>
      <c r="C104" s="4" t="s">
        <v>40</v>
      </c>
      <c r="D104" s="4" t="s">
        <v>27</v>
      </c>
      <c r="E104" s="4" t="s">
        <v>28</v>
      </c>
      <c r="F104" s="5">
        <v>35521.370000000003</v>
      </c>
      <c r="G104" s="5">
        <v>11069.25</v>
      </c>
      <c r="H104" s="4">
        <v>2</v>
      </c>
      <c r="I104" s="6">
        <f t="shared" si="6"/>
        <v>71042.740000000005</v>
      </c>
      <c r="J104" s="7">
        <f t="shared" si="7"/>
        <v>31.162227132568365</v>
      </c>
    </row>
    <row r="105" spans="1:10" x14ac:dyDescent="0.25">
      <c r="A105" s="1" t="s">
        <v>239</v>
      </c>
      <c r="B105" s="1" t="s">
        <v>176</v>
      </c>
      <c r="C105" s="1" t="s">
        <v>37</v>
      </c>
      <c r="D105" s="1" t="s">
        <v>26</v>
      </c>
      <c r="E105" s="1" t="s">
        <v>23</v>
      </c>
      <c r="F105" s="8">
        <v>163664.79</v>
      </c>
      <c r="G105" s="8">
        <v>46763.12</v>
      </c>
      <c r="H105" s="1">
        <v>7</v>
      </c>
      <c r="I105" s="9">
        <f t="shared" si="6"/>
        <v>1145653.53</v>
      </c>
      <c r="J105" s="10">
        <f t="shared" si="7"/>
        <v>28.572498702989201</v>
      </c>
    </row>
    <row r="106" spans="1:10" x14ac:dyDescent="0.25">
      <c r="A106" s="4" t="s">
        <v>240</v>
      </c>
      <c r="B106" s="4" t="s">
        <v>241</v>
      </c>
      <c r="C106" s="4" t="s">
        <v>37</v>
      </c>
      <c r="D106" s="4" t="s">
        <v>27</v>
      </c>
      <c r="E106" s="4" t="s">
        <v>28</v>
      </c>
      <c r="F106" s="5">
        <v>142144.54999999999</v>
      </c>
      <c r="G106" s="5">
        <v>47817.85</v>
      </c>
      <c r="H106" s="4">
        <v>8</v>
      </c>
      <c r="I106" s="6">
        <f t="shared" si="6"/>
        <v>1137156.3999999999</v>
      </c>
      <c r="J106" s="7">
        <f t="shared" si="7"/>
        <v>33.640297851729109</v>
      </c>
    </row>
    <row r="107" spans="1:10" x14ac:dyDescent="0.25">
      <c r="A107" s="1" t="s">
        <v>242</v>
      </c>
      <c r="B107" s="1" t="s">
        <v>243</v>
      </c>
      <c r="C107" s="1" t="s">
        <v>40</v>
      </c>
      <c r="D107" s="1" t="s">
        <v>25</v>
      </c>
      <c r="E107" s="1" t="s">
        <v>23</v>
      </c>
      <c r="F107" s="8">
        <v>38231.43</v>
      </c>
      <c r="G107" s="8">
        <v>11281.92</v>
      </c>
      <c r="H107" s="1">
        <v>2</v>
      </c>
      <c r="I107" s="9">
        <f t="shared" si="6"/>
        <v>76462.86</v>
      </c>
      <c r="J107" s="10">
        <f t="shared" si="7"/>
        <v>29.509542279742085</v>
      </c>
    </row>
    <row r="108" spans="1:10" x14ac:dyDescent="0.25">
      <c r="A108" s="4" t="s">
        <v>244</v>
      </c>
      <c r="B108" s="4" t="s">
        <v>245</v>
      </c>
      <c r="C108" s="4" t="s">
        <v>39</v>
      </c>
      <c r="D108" s="4" t="s">
        <v>29</v>
      </c>
      <c r="E108" s="4" t="s">
        <v>30</v>
      </c>
      <c r="F108" s="5">
        <v>27172.2</v>
      </c>
      <c r="G108" s="5">
        <v>12242.29</v>
      </c>
      <c r="H108" s="4">
        <v>6</v>
      </c>
      <c r="I108" s="6">
        <f t="shared" si="6"/>
        <v>163033.20000000001</v>
      </c>
      <c r="J108" s="7">
        <f t="shared" si="7"/>
        <v>45.054467433627018</v>
      </c>
    </row>
    <row r="109" spans="1:10" x14ac:dyDescent="0.25">
      <c r="A109" s="1" t="s">
        <v>246</v>
      </c>
      <c r="B109" s="1" t="s">
        <v>216</v>
      </c>
      <c r="C109" s="1" t="s">
        <v>37</v>
      </c>
      <c r="D109" s="1" t="s">
        <v>25</v>
      </c>
      <c r="E109" s="1" t="s">
        <v>23</v>
      </c>
      <c r="F109" s="8">
        <v>127147.98</v>
      </c>
      <c r="G109" s="8">
        <v>33050.44</v>
      </c>
      <c r="H109" s="1">
        <v>6</v>
      </c>
      <c r="I109" s="9">
        <f t="shared" si="6"/>
        <v>762887.88</v>
      </c>
      <c r="J109" s="10">
        <f t="shared" si="7"/>
        <v>25.993680748998138</v>
      </c>
    </row>
    <row r="110" spans="1:10" x14ac:dyDescent="0.25">
      <c r="A110" s="4" t="s">
        <v>247</v>
      </c>
      <c r="B110" s="4" t="s">
        <v>248</v>
      </c>
      <c r="C110" s="4" t="s">
        <v>40</v>
      </c>
      <c r="D110" s="4" t="s">
        <v>22</v>
      </c>
      <c r="E110" s="4" t="s">
        <v>23</v>
      </c>
      <c r="F110" s="5">
        <v>735488.45</v>
      </c>
      <c r="G110" s="5">
        <v>156082.07</v>
      </c>
      <c r="H110" s="4">
        <v>9</v>
      </c>
      <c r="I110" s="6">
        <f t="shared" si="6"/>
        <v>6619396.0499999998</v>
      </c>
      <c r="J110" s="7">
        <f t="shared" si="7"/>
        <v>21.221552833358569</v>
      </c>
    </row>
    <row r="111" spans="1:10" x14ac:dyDescent="0.25">
      <c r="A111" s="1" t="s">
        <v>249</v>
      </c>
      <c r="B111" s="1" t="s">
        <v>250</v>
      </c>
      <c r="C111" s="1" t="s">
        <v>38</v>
      </c>
      <c r="D111" s="1" t="s">
        <v>25</v>
      </c>
      <c r="E111" s="1" t="s">
        <v>23</v>
      </c>
      <c r="F111" s="8">
        <v>164668.89000000001</v>
      </c>
      <c r="G111" s="8">
        <v>45511.88</v>
      </c>
      <c r="H111" s="1">
        <v>8</v>
      </c>
      <c r="I111" s="9">
        <f t="shared" si="6"/>
        <v>1317351.1200000001</v>
      </c>
      <c r="J111" s="10">
        <f t="shared" si="7"/>
        <v>27.638420347644288</v>
      </c>
    </row>
    <row r="112" spans="1:10" x14ac:dyDescent="0.25">
      <c r="A112" s="4" t="s">
        <v>251</v>
      </c>
      <c r="B112" s="4" t="s">
        <v>120</v>
      </c>
      <c r="C112" s="4" t="s">
        <v>37</v>
      </c>
      <c r="D112" s="4" t="s">
        <v>31</v>
      </c>
      <c r="E112" s="4" t="s">
        <v>30</v>
      </c>
      <c r="F112" s="5">
        <v>7847.04</v>
      </c>
      <c r="G112" s="5">
        <v>2875.72</v>
      </c>
      <c r="H112" s="4">
        <v>4</v>
      </c>
      <c r="I112" s="6">
        <f t="shared" si="6"/>
        <v>31388.16</v>
      </c>
      <c r="J112" s="7">
        <f t="shared" si="7"/>
        <v>36.647194356088406</v>
      </c>
    </row>
    <row r="113" spans="1:10" x14ac:dyDescent="0.25">
      <c r="A113" s="1" t="s">
        <v>252</v>
      </c>
      <c r="B113" s="1" t="s">
        <v>253</v>
      </c>
      <c r="C113" s="1" t="s">
        <v>37</v>
      </c>
      <c r="D113" s="1" t="s">
        <v>32</v>
      </c>
      <c r="E113" s="1" t="s">
        <v>30</v>
      </c>
      <c r="F113" s="8">
        <v>11542.93</v>
      </c>
      <c r="G113" s="8">
        <v>4032.33</v>
      </c>
      <c r="H113" s="1">
        <v>7</v>
      </c>
      <c r="I113" s="9">
        <f t="shared" si="6"/>
        <v>80800.510000000009</v>
      </c>
      <c r="J113" s="10">
        <f t="shared" si="7"/>
        <v>34.933331485160181</v>
      </c>
    </row>
    <row r="114" spans="1:10" x14ac:dyDescent="0.25">
      <c r="A114" s="4" t="s">
        <v>254</v>
      </c>
      <c r="B114" s="4" t="s">
        <v>255</v>
      </c>
      <c r="C114" s="4" t="s">
        <v>39</v>
      </c>
      <c r="D114" s="4" t="s">
        <v>27</v>
      </c>
      <c r="E114" s="4" t="s">
        <v>28</v>
      </c>
      <c r="F114" s="5">
        <v>86519.21</v>
      </c>
      <c r="G114" s="5">
        <v>26883.23</v>
      </c>
      <c r="H114" s="4">
        <v>5</v>
      </c>
      <c r="I114" s="6">
        <f t="shared" si="6"/>
        <v>432596.05000000005</v>
      </c>
      <c r="J114" s="7">
        <f t="shared" si="7"/>
        <v>31.071978119078985</v>
      </c>
    </row>
    <row r="115" spans="1:10" x14ac:dyDescent="0.25">
      <c r="A115" s="1" t="s">
        <v>256</v>
      </c>
      <c r="B115" s="1" t="s">
        <v>257</v>
      </c>
      <c r="C115" s="1" t="s">
        <v>39</v>
      </c>
      <c r="D115" s="1" t="s">
        <v>24</v>
      </c>
      <c r="E115" s="1" t="s">
        <v>23</v>
      </c>
      <c r="F115" s="8">
        <v>343405.29</v>
      </c>
      <c r="G115" s="8">
        <v>88922.94</v>
      </c>
      <c r="H115" s="1">
        <v>9</v>
      </c>
      <c r="I115" s="9">
        <f t="shared" si="6"/>
        <v>3090647.61</v>
      </c>
      <c r="J115" s="10">
        <f t="shared" si="7"/>
        <v>25.894458410934789</v>
      </c>
    </row>
    <row r="116" spans="1:10" x14ac:dyDescent="0.25">
      <c r="A116" s="4" t="s">
        <v>258</v>
      </c>
      <c r="B116" s="4" t="s">
        <v>259</v>
      </c>
      <c r="C116" s="4" t="s">
        <v>37</v>
      </c>
      <c r="D116" s="4" t="s">
        <v>27</v>
      </c>
      <c r="E116" s="4" t="s">
        <v>28</v>
      </c>
      <c r="F116" s="5">
        <v>94042.53</v>
      </c>
      <c r="G116" s="5">
        <v>31359.64</v>
      </c>
      <c r="H116" s="4">
        <v>5</v>
      </c>
      <c r="I116" s="6">
        <f t="shared" si="6"/>
        <v>470212.65</v>
      </c>
      <c r="J116" s="7">
        <f t="shared" si="7"/>
        <v>33.34623175280376</v>
      </c>
    </row>
    <row r="117" spans="1:10" x14ac:dyDescent="0.25">
      <c r="A117" s="1" t="s">
        <v>260</v>
      </c>
      <c r="B117" s="1" t="s">
        <v>261</v>
      </c>
      <c r="C117" s="1" t="s">
        <v>38</v>
      </c>
      <c r="D117" s="1" t="s">
        <v>25</v>
      </c>
      <c r="E117" s="1" t="s">
        <v>23</v>
      </c>
      <c r="F117" s="8">
        <v>94549.66</v>
      </c>
      <c r="G117" s="8">
        <v>26576.65</v>
      </c>
      <c r="H117" s="1">
        <v>5</v>
      </c>
      <c r="I117" s="9">
        <f t="shared" si="6"/>
        <v>472748.30000000005</v>
      </c>
      <c r="J117" s="10">
        <f t="shared" si="7"/>
        <v>28.108667974057234</v>
      </c>
    </row>
    <row r="118" spans="1:10" x14ac:dyDescent="0.25">
      <c r="A118" s="4" t="s">
        <v>262</v>
      </c>
      <c r="B118" s="4" t="s">
        <v>176</v>
      </c>
      <c r="C118" s="4" t="s">
        <v>37</v>
      </c>
      <c r="D118" s="4" t="s">
        <v>26</v>
      </c>
      <c r="E118" s="4" t="s">
        <v>23</v>
      </c>
      <c r="F118" s="5">
        <v>113637.89</v>
      </c>
      <c r="G118" s="5">
        <v>30131.68</v>
      </c>
      <c r="H118" s="4">
        <v>5</v>
      </c>
      <c r="I118" s="6">
        <f t="shared" si="6"/>
        <v>568189.44999999995</v>
      </c>
      <c r="J118" s="7">
        <f t="shared" si="7"/>
        <v>26.515522243505224</v>
      </c>
    </row>
    <row r="119" spans="1:10" x14ac:dyDescent="0.25">
      <c r="A119" s="1" t="s">
        <v>263</v>
      </c>
      <c r="B119" s="1" t="s">
        <v>57</v>
      </c>
      <c r="C119" s="1" t="s">
        <v>37</v>
      </c>
      <c r="D119" s="1" t="s">
        <v>26</v>
      </c>
      <c r="E119" s="1" t="s">
        <v>23</v>
      </c>
      <c r="F119" s="8">
        <v>184103.51</v>
      </c>
      <c r="G119" s="8">
        <v>47737.37</v>
      </c>
      <c r="H119" s="1">
        <v>8</v>
      </c>
      <c r="I119" s="9">
        <f t="shared" si="6"/>
        <v>1472828.08</v>
      </c>
      <c r="J119" s="10">
        <f t="shared" si="7"/>
        <v>25.92963599661951</v>
      </c>
    </row>
    <row r="120" spans="1:10" x14ac:dyDescent="0.25">
      <c r="A120" s="4" t="s">
        <v>264</v>
      </c>
      <c r="B120" s="4" t="s">
        <v>265</v>
      </c>
      <c r="C120" s="4" t="s">
        <v>37</v>
      </c>
      <c r="D120" s="4" t="s">
        <v>27</v>
      </c>
      <c r="E120" s="4" t="s">
        <v>28</v>
      </c>
      <c r="F120" s="5">
        <v>139412.32999999999</v>
      </c>
      <c r="G120" s="5">
        <v>50068.78</v>
      </c>
      <c r="H120" s="4">
        <v>8</v>
      </c>
      <c r="I120" s="6">
        <f t="shared" si="6"/>
        <v>1115298.6399999999</v>
      </c>
      <c r="J120" s="7">
        <f t="shared" si="7"/>
        <v>35.914169141280404</v>
      </c>
    </row>
    <row r="121" spans="1:10" x14ac:dyDescent="0.25">
      <c r="A121" s="1" t="s">
        <v>266</v>
      </c>
      <c r="B121" s="1" t="s">
        <v>267</v>
      </c>
      <c r="C121" s="1" t="s">
        <v>38</v>
      </c>
      <c r="D121" s="1" t="s">
        <v>24</v>
      </c>
      <c r="E121" s="1" t="s">
        <v>23</v>
      </c>
      <c r="F121" s="8">
        <v>68609.899999999994</v>
      </c>
      <c r="G121" s="8">
        <v>17296.330000000002</v>
      </c>
      <c r="H121" s="1">
        <v>2</v>
      </c>
      <c r="I121" s="9">
        <f t="shared" si="6"/>
        <v>137219.79999999999</v>
      </c>
      <c r="J121" s="10">
        <f t="shared" si="7"/>
        <v>25.209670907551246</v>
      </c>
    </row>
    <row r="122" spans="1:10" x14ac:dyDescent="0.25">
      <c r="A122" s="4" t="s">
        <v>268</v>
      </c>
      <c r="B122" s="4" t="s">
        <v>269</v>
      </c>
      <c r="C122" s="4" t="s">
        <v>39</v>
      </c>
      <c r="D122" s="4" t="s">
        <v>26</v>
      </c>
      <c r="E122" s="4" t="s">
        <v>23</v>
      </c>
      <c r="F122" s="5">
        <v>272456.28000000003</v>
      </c>
      <c r="G122" s="5">
        <v>60692.53</v>
      </c>
      <c r="H122" s="4">
        <v>10</v>
      </c>
      <c r="I122" s="6">
        <f t="shared" si="6"/>
        <v>2724562.8000000003</v>
      </c>
      <c r="J122" s="7">
        <f t="shared" si="7"/>
        <v>22.276062052964974</v>
      </c>
    </row>
    <row r="123" spans="1:10" x14ac:dyDescent="0.25">
      <c r="A123" s="1" t="s">
        <v>270</v>
      </c>
      <c r="B123" s="1" t="s">
        <v>271</v>
      </c>
      <c r="C123" s="1" t="s">
        <v>40</v>
      </c>
      <c r="D123" s="1" t="s">
        <v>29</v>
      </c>
      <c r="E123" s="1" t="s">
        <v>30</v>
      </c>
      <c r="F123" s="8">
        <v>50961.27</v>
      </c>
      <c r="G123" s="8">
        <v>19473.669999999998</v>
      </c>
      <c r="H123" s="1">
        <v>10</v>
      </c>
      <c r="I123" s="9">
        <f t="shared" si="6"/>
        <v>509612.69999999995</v>
      </c>
      <c r="J123" s="10">
        <f t="shared" si="7"/>
        <v>38.212685829846862</v>
      </c>
    </row>
    <row r="124" spans="1:10" x14ac:dyDescent="0.25">
      <c r="A124" s="4" t="s">
        <v>272</v>
      </c>
      <c r="B124" s="4" t="s">
        <v>202</v>
      </c>
      <c r="C124" s="4" t="s">
        <v>37</v>
      </c>
      <c r="D124" s="4" t="s">
        <v>27</v>
      </c>
      <c r="E124" s="4" t="s">
        <v>28</v>
      </c>
      <c r="F124" s="5">
        <v>96483</v>
      </c>
      <c r="G124" s="5">
        <v>31440.19</v>
      </c>
      <c r="H124" s="4">
        <v>5</v>
      </c>
      <c r="I124" s="6">
        <f t="shared" si="6"/>
        <v>482415</v>
      </c>
      <c r="J124" s="7">
        <f t="shared" si="7"/>
        <v>32.586248354632417</v>
      </c>
    </row>
    <row r="125" spans="1:10" x14ac:dyDescent="0.25">
      <c r="A125" s="1" t="s">
        <v>273</v>
      </c>
      <c r="B125" s="1" t="s">
        <v>245</v>
      </c>
      <c r="C125" s="1" t="s">
        <v>39</v>
      </c>
      <c r="D125" s="1" t="s">
        <v>22</v>
      </c>
      <c r="E125" s="1" t="s">
        <v>23</v>
      </c>
      <c r="F125" s="8">
        <v>819016.32</v>
      </c>
      <c r="G125" s="8">
        <v>173969.34</v>
      </c>
      <c r="H125" s="1">
        <v>10</v>
      </c>
      <c r="I125" s="9">
        <f t="shared" si="6"/>
        <v>8190163.1999999993</v>
      </c>
      <c r="J125" s="10">
        <f t="shared" si="7"/>
        <v>21.241254386725775</v>
      </c>
    </row>
    <row r="126" spans="1:10" x14ac:dyDescent="0.25">
      <c r="A126" s="4" t="s">
        <v>274</v>
      </c>
      <c r="B126" s="4" t="s">
        <v>204</v>
      </c>
      <c r="C126" s="4" t="s">
        <v>39</v>
      </c>
      <c r="D126" s="4" t="s">
        <v>25</v>
      </c>
      <c r="E126" s="4" t="s">
        <v>23</v>
      </c>
      <c r="F126" s="5">
        <v>103208.56</v>
      </c>
      <c r="G126" s="5">
        <v>26442.34</v>
      </c>
      <c r="H126" s="4">
        <v>5</v>
      </c>
      <c r="I126" s="6">
        <f t="shared" si="6"/>
        <v>516042.8</v>
      </c>
      <c r="J126" s="7">
        <f t="shared" si="7"/>
        <v>25.620297386185797</v>
      </c>
    </row>
    <row r="127" spans="1:10" x14ac:dyDescent="0.25">
      <c r="A127" s="1" t="s">
        <v>275</v>
      </c>
      <c r="B127" s="1" t="s">
        <v>62</v>
      </c>
      <c r="C127" s="1" t="s">
        <v>40</v>
      </c>
      <c r="D127" s="1" t="s">
        <v>24</v>
      </c>
      <c r="E127" s="1" t="s">
        <v>23</v>
      </c>
      <c r="F127" s="8">
        <v>94556.19</v>
      </c>
      <c r="G127" s="8">
        <v>28203.02</v>
      </c>
      <c r="H127" s="1">
        <v>3</v>
      </c>
      <c r="I127" s="9">
        <f t="shared" si="6"/>
        <v>283668.57</v>
      </c>
      <c r="J127" s="10">
        <f t="shared" si="7"/>
        <v>29.826730539798614</v>
      </c>
    </row>
    <row r="128" spans="1:10" x14ac:dyDescent="0.25">
      <c r="A128" s="4" t="s">
        <v>276</v>
      </c>
      <c r="B128" s="4" t="s">
        <v>277</v>
      </c>
      <c r="C128" s="4" t="s">
        <v>40</v>
      </c>
      <c r="D128" s="4" t="s">
        <v>22</v>
      </c>
      <c r="E128" s="4" t="s">
        <v>23</v>
      </c>
      <c r="F128" s="5">
        <v>287286.28999999998</v>
      </c>
      <c r="G128" s="5">
        <v>72523.490000000005</v>
      </c>
      <c r="H128" s="4">
        <v>4</v>
      </c>
      <c r="I128" s="6">
        <f t="shared" si="6"/>
        <v>1149145.1599999999</v>
      </c>
      <c r="J128" s="7">
        <f t="shared" si="7"/>
        <v>25.244326835088444</v>
      </c>
    </row>
    <row r="129" spans="1:10" x14ac:dyDescent="0.25">
      <c r="A129" s="1" t="s">
        <v>278</v>
      </c>
      <c r="B129" s="1" t="s">
        <v>279</v>
      </c>
      <c r="C129" s="1" t="s">
        <v>39</v>
      </c>
      <c r="D129" s="1" t="s">
        <v>25</v>
      </c>
      <c r="E129" s="1" t="s">
        <v>23</v>
      </c>
      <c r="F129" s="8">
        <v>105756.56</v>
      </c>
      <c r="G129" s="8">
        <v>29250.35</v>
      </c>
      <c r="H129" s="1">
        <v>5</v>
      </c>
      <c r="I129" s="9">
        <f t="shared" si="6"/>
        <v>528782.80000000005</v>
      </c>
      <c r="J129" s="10">
        <f t="shared" si="7"/>
        <v>27.658189714188886</v>
      </c>
    </row>
    <row r="130" spans="1:10" x14ac:dyDescent="0.25">
      <c r="A130" s="4" t="s">
        <v>280</v>
      </c>
      <c r="B130" s="4" t="s">
        <v>281</v>
      </c>
      <c r="C130" s="4" t="s">
        <v>37</v>
      </c>
      <c r="D130" s="4" t="s">
        <v>24</v>
      </c>
      <c r="E130" s="4" t="s">
        <v>23</v>
      </c>
      <c r="F130" s="5">
        <v>297663</v>
      </c>
      <c r="G130" s="5">
        <v>79181.81</v>
      </c>
      <c r="H130" s="4">
        <v>9</v>
      </c>
      <c r="I130" s="6">
        <f t="shared" ref="I130:I161" si="8">F130*H130</f>
        <v>2678967</v>
      </c>
      <c r="J130" s="7">
        <f t="shared" ref="J130:J161" si="9">IF(F130=0,0,G130/F130*100)</f>
        <v>26.601159700735394</v>
      </c>
    </row>
    <row r="131" spans="1:10" x14ac:dyDescent="0.25">
      <c r="A131" s="1" t="s">
        <v>282</v>
      </c>
      <c r="B131" s="1" t="s">
        <v>283</v>
      </c>
      <c r="C131" s="1" t="s">
        <v>37</v>
      </c>
      <c r="D131" s="1" t="s">
        <v>24</v>
      </c>
      <c r="E131" s="1" t="s">
        <v>23</v>
      </c>
      <c r="F131" s="8">
        <v>32661.46</v>
      </c>
      <c r="G131" s="8">
        <v>9115.2199999999993</v>
      </c>
      <c r="H131" s="1">
        <v>1</v>
      </c>
      <c r="I131" s="9">
        <f t="shared" si="8"/>
        <v>32661.46</v>
      </c>
      <c r="J131" s="10">
        <f t="shared" si="9"/>
        <v>27.908182916501588</v>
      </c>
    </row>
    <row r="132" spans="1:10" x14ac:dyDescent="0.25">
      <c r="A132" s="4" t="s">
        <v>284</v>
      </c>
      <c r="B132" s="4" t="s">
        <v>102</v>
      </c>
      <c r="C132" s="4" t="s">
        <v>37</v>
      </c>
      <c r="D132" s="4" t="s">
        <v>24</v>
      </c>
      <c r="E132" s="4" t="s">
        <v>23</v>
      </c>
      <c r="F132" s="5">
        <v>290565.96999999997</v>
      </c>
      <c r="G132" s="5">
        <v>79195.740000000005</v>
      </c>
      <c r="H132" s="4">
        <v>8</v>
      </c>
      <c r="I132" s="6">
        <f t="shared" si="8"/>
        <v>2324527.7599999998</v>
      </c>
      <c r="J132" s="7">
        <f t="shared" si="9"/>
        <v>27.25568310700665</v>
      </c>
    </row>
    <row r="133" spans="1:10" x14ac:dyDescent="0.25">
      <c r="A133" s="1" t="s">
        <v>285</v>
      </c>
      <c r="B133" s="1" t="s">
        <v>286</v>
      </c>
      <c r="C133" s="1" t="s">
        <v>40</v>
      </c>
      <c r="D133" s="1" t="s">
        <v>27</v>
      </c>
      <c r="E133" s="1" t="s">
        <v>28</v>
      </c>
      <c r="F133" s="8">
        <v>131916.73000000001</v>
      </c>
      <c r="G133" s="8">
        <v>41182.660000000003</v>
      </c>
      <c r="H133" s="1">
        <v>8</v>
      </c>
      <c r="I133" s="9">
        <f t="shared" si="8"/>
        <v>1055333.8400000001</v>
      </c>
      <c r="J133" s="10">
        <f t="shared" si="9"/>
        <v>31.218678631588276</v>
      </c>
    </row>
    <row r="134" spans="1:10" x14ac:dyDescent="0.25">
      <c r="A134" s="4" t="s">
        <v>287</v>
      </c>
      <c r="B134" s="4" t="s">
        <v>243</v>
      </c>
      <c r="C134" s="4" t="s">
        <v>38</v>
      </c>
      <c r="D134" s="4" t="s">
        <v>31</v>
      </c>
      <c r="E134" s="4" t="s">
        <v>30</v>
      </c>
      <c r="F134" s="5">
        <v>1836.53</v>
      </c>
      <c r="G134" s="5">
        <v>833.91</v>
      </c>
      <c r="H134" s="4">
        <v>1</v>
      </c>
      <c r="I134" s="6">
        <f t="shared" si="8"/>
        <v>1836.53</v>
      </c>
      <c r="J134" s="7">
        <f t="shared" si="9"/>
        <v>45.406827005276249</v>
      </c>
    </row>
    <row r="135" spans="1:10" x14ac:dyDescent="0.25">
      <c r="A135" s="1" t="s">
        <v>288</v>
      </c>
      <c r="B135" s="1" t="s">
        <v>289</v>
      </c>
      <c r="C135" s="1" t="s">
        <v>40</v>
      </c>
      <c r="D135" s="1" t="s">
        <v>31</v>
      </c>
      <c r="E135" s="1" t="s">
        <v>30</v>
      </c>
      <c r="F135" s="8">
        <v>18160.93</v>
      </c>
      <c r="G135" s="8">
        <v>8010.03</v>
      </c>
      <c r="H135" s="1">
        <v>10</v>
      </c>
      <c r="I135" s="9">
        <f t="shared" si="8"/>
        <v>181609.3</v>
      </c>
      <c r="J135" s="10">
        <f t="shared" si="9"/>
        <v>44.105835989676741</v>
      </c>
    </row>
    <row r="136" spans="1:10" x14ac:dyDescent="0.25">
      <c r="A136" s="4" t="s">
        <v>290</v>
      </c>
      <c r="B136" s="4" t="s">
        <v>291</v>
      </c>
      <c r="C136" s="4" t="s">
        <v>40</v>
      </c>
      <c r="D136" s="4" t="s">
        <v>27</v>
      </c>
      <c r="E136" s="4" t="s">
        <v>28</v>
      </c>
      <c r="F136" s="5">
        <v>84266.8</v>
      </c>
      <c r="G136" s="5">
        <v>29011.98</v>
      </c>
      <c r="H136" s="4">
        <v>5</v>
      </c>
      <c r="I136" s="6">
        <f t="shared" si="8"/>
        <v>421334</v>
      </c>
      <c r="J136" s="7">
        <f t="shared" si="9"/>
        <v>34.428719258355599</v>
      </c>
    </row>
    <row r="137" spans="1:10" x14ac:dyDescent="0.25">
      <c r="A137" s="1" t="s">
        <v>292</v>
      </c>
      <c r="B137" s="1" t="s">
        <v>81</v>
      </c>
      <c r="C137" s="1" t="s">
        <v>38</v>
      </c>
      <c r="D137" s="1" t="s">
        <v>27</v>
      </c>
      <c r="E137" s="1" t="s">
        <v>28</v>
      </c>
      <c r="F137" s="8">
        <v>106020.32</v>
      </c>
      <c r="G137" s="8">
        <v>32911.620000000003</v>
      </c>
      <c r="H137" s="1">
        <v>6</v>
      </c>
      <c r="I137" s="9">
        <f t="shared" si="8"/>
        <v>636121.92000000004</v>
      </c>
      <c r="J137" s="10">
        <f t="shared" si="9"/>
        <v>31.042747277125741</v>
      </c>
    </row>
    <row r="138" spans="1:10" x14ac:dyDescent="0.25">
      <c r="A138" s="4" t="s">
        <v>293</v>
      </c>
      <c r="B138" s="4" t="s">
        <v>294</v>
      </c>
      <c r="C138" s="4" t="s">
        <v>40</v>
      </c>
      <c r="D138" s="4" t="s">
        <v>32</v>
      </c>
      <c r="E138" s="4" t="s">
        <v>30</v>
      </c>
      <c r="F138" s="5">
        <v>10906.71</v>
      </c>
      <c r="G138" s="5">
        <v>3812.1</v>
      </c>
      <c r="H138" s="4">
        <v>7</v>
      </c>
      <c r="I138" s="6">
        <f t="shared" si="8"/>
        <v>76346.97</v>
      </c>
      <c r="J138" s="7">
        <f t="shared" si="9"/>
        <v>34.951878247427501</v>
      </c>
    </row>
    <row r="139" spans="1:10" x14ac:dyDescent="0.25">
      <c r="A139" s="1" t="s">
        <v>295</v>
      </c>
      <c r="B139" s="1" t="s">
        <v>98</v>
      </c>
      <c r="C139" s="1" t="s">
        <v>38</v>
      </c>
      <c r="D139" s="1" t="s">
        <v>22</v>
      </c>
      <c r="E139" s="1" t="s">
        <v>23</v>
      </c>
      <c r="F139" s="8">
        <v>550567.18000000005</v>
      </c>
      <c r="G139" s="8">
        <v>144076.76</v>
      </c>
      <c r="H139" s="1">
        <v>8</v>
      </c>
      <c r="I139" s="9">
        <f t="shared" si="8"/>
        <v>4404537.4400000004</v>
      </c>
      <c r="J139" s="10">
        <f t="shared" si="9"/>
        <v>26.168788339326728</v>
      </c>
    </row>
    <row r="140" spans="1:10" x14ac:dyDescent="0.25">
      <c r="A140" s="4" t="s">
        <v>296</v>
      </c>
      <c r="B140" s="4" t="s">
        <v>131</v>
      </c>
      <c r="C140" s="4" t="s">
        <v>37</v>
      </c>
      <c r="D140" s="4" t="s">
        <v>22</v>
      </c>
      <c r="E140" s="4" t="s">
        <v>23</v>
      </c>
      <c r="F140" s="5">
        <v>669866.81000000006</v>
      </c>
      <c r="G140" s="5">
        <v>154951.35</v>
      </c>
      <c r="H140" s="4">
        <v>9</v>
      </c>
      <c r="I140" s="6">
        <f t="shared" si="8"/>
        <v>6028801.290000001</v>
      </c>
      <c r="J140" s="7">
        <f t="shared" si="9"/>
        <v>23.131665532137649</v>
      </c>
    </row>
    <row r="141" spans="1:10" x14ac:dyDescent="0.25">
      <c r="A141" s="1" t="s">
        <v>297</v>
      </c>
      <c r="B141" s="1" t="s">
        <v>298</v>
      </c>
      <c r="C141" s="1" t="s">
        <v>39</v>
      </c>
      <c r="D141" s="1" t="s">
        <v>27</v>
      </c>
      <c r="E141" s="1" t="s">
        <v>28</v>
      </c>
      <c r="F141" s="8">
        <v>151487.73000000001</v>
      </c>
      <c r="G141" s="8">
        <v>42754.16</v>
      </c>
      <c r="H141" s="1">
        <v>8</v>
      </c>
      <c r="I141" s="9">
        <f t="shared" si="8"/>
        <v>1211901.8400000001</v>
      </c>
      <c r="J141" s="10">
        <f t="shared" si="9"/>
        <v>28.222853428459189</v>
      </c>
    </row>
    <row r="142" spans="1:10" x14ac:dyDescent="0.25">
      <c r="A142" s="4" t="s">
        <v>299</v>
      </c>
      <c r="B142" s="4" t="s">
        <v>300</v>
      </c>
      <c r="C142" s="4" t="s">
        <v>39</v>
      </c>
      <c r="D142" s="4" t="s">
        <v>27</v>
      </c>
      <c r="E142" s="4" t="s">
        <v>28</v>
      </c>
      <c r="F142" s="5">
        <v>133097.07</v>
      </c>
      <c r="G142" s="5">
        <v>50142.21</v>
      </c>
      <c r="H142" s="4">
        <v>8</v>
      </c>
      <c r="I142" s="6">
        <f t="shared" si="8"/>
        <v>1064776.56</v>
      </c>
      <c r="J142" s="7">
        <f t="shared" si="9"/>
        <v>37.673413847502424</v>
      </c>
    </row>
    <row r="143" spans="1:10" x14ac:dyDescent="0.25">
      <c r="A143" s="1" t="s">
        <v>301</v>
      </c>
      <c r="B143" s="1" t="s">
        <v>302</v>
      </c>
      <c r="C143" s="1" t="s">
        <v>38</v>
      </c>
      <c r="D143" s="1" t="s">
        <v>26</v>
      </c>
      <c r="E143" s="1" t="s">
        <v>23</v>
      </c>
      <c r="F143" s="8">
        <v>126270.98</v>
      </c>
      <c r="G143" s="8">
        <v>33615.760000000002</v>
      </c>
      <c r="H143" s="1">
        <v>5</v>
      </c>
      <c r="I143" s="9">
        <f t="shared" si="8"/>
        <v>631354.9</v>
      </c>
      <c r="J143" s="10">
        <f t="shared" si="9"/>
        <v>26.621920571139945</v>
      </c>
    </row>
    <row r="144" spans="1:10" x14ac:dyDescent="0.25">
      <c r="A144" s="4" t="s">
        <v>303</v>
      </c>
      <c r="B144" s="4" t="s">
        <v>304</v>
      </c>
      <c r="C144" s="4" t="s">
        <v>39</v>
      </c>
      <c r="D144" s="4" t="s">
        <v>24</v>
      </c>
      <c r="E144" s="4" t="s">
        <v>23</v>
      </c>
      <c r="F144" s="5">
        <v>305035.40000000002</v>
      </c>
      <c r="G144" s="5">
        <v>78363.360000000001</v>
      </c>
      <c r="H144" s="4">
        <v>8</v>
      </c>
      <c r="I144" s="6">
        <f t="shared" si="8"/>
        <v>2440283.2000000002</v>
      </c>
      <c r="J144" s="7">
        <f t="shared" si="9"/>
        <v>25.689923202356184</v>
      </c>
    </row>
    <row r="145" spans="1:10" x14ac:dyDescent="0.25">
      <c r="A145" s="1" t="s">
        <v>305</v>
      </c>
      <c r="B145" s="1" t="s">
        <v>306</v>
      </c>
      <c r="C145" s="1" t="s">
        <v>40</v>
      </c>
      <c r="D145" s="1" t="s">
        <v>31</v>
      </c>
      <c r="E145" s="1" t="s">
        <v>30</v>
      </c>
      <c r="F145" s="8">
        <v>18739.48</v>
      </c>
      <c r="G145" s="8">
        <v>6718.31</v>
      </c>
      <c r="H145" s="1">
        <v>9</v>
      </c>
      <c r="I145" s="9">
        <f t="shared" si="8"/>
        <v>168655.32</v>
      </c>
      <c r="J145" s="10">
        <f t="shared" si="9"/>
        <v>35.851101524695459</v>
      </c>
    </row>
    <row r="146" spans="1:10" x14ac:dyDescent="0.25">
      <c r="A146" s="4" t="s">
        <v>307</v>
      </c>
      <c r="B146" s="4" t="s">
        <v>308</v>
      </c>
      <c r="C146" s="4" t="s">
        <v>39</v>
      </c>
      <c r="D146" s="4" t="s">
        <v>25</v>
      </c>
      <c r="E146" s="4" t="s">
        <v>23</v>
      </c>
      <c r="F146" s="5">
        <v>161640.48000000001</v>
      </c>
      <c r="G146" s="5">
        <v>44482.43</v>
      </c>
      <c r="H146" s="4">
        <v>8</v>
      </c>
      <c r="I146" s="6">
        <f t="shared" si="8"/>
        <v>1293123.8400000001</v>
      </c>
      <c r="J146" s="7">
        <f t="shared" si="9"/>
        <v>27.51936272399092</v>
      </c>
    </row>
    <row r="147" spans="1:10" x14ac:dyDescent="0.25">
      <c r="A147" s="1" t="s">
        <v>309</v>
      </c>
      <c r="B147" s="1" t="s">
        <v>310</v>
      </c>
      <c r="C147" s="1" t="s">
        <v>37</v>
      </c>
      <c r="D147" s="1" t="s">
        <v>31</v>
      </c>
      <c r="E147" s="1" t="s">
        <v>30</v>
      </c>
      <c r="F147" s="8">
        <v>13551.65</v>
      </c>
      <c r="G147" s="8">
        <v>5642.24</v>
      </c>
      <c r="H147" s="1">
        <v>7</v>
      </c>
      <c r="I147" s="9">
        <f t="shared" si="8"/>
        <v>94861.55</v>
      </c>
      <c r="J147" s="10">
        <f t="shared" si="9"/>
        <v>41.635077647371354</v>
      </c>
    </row>
    <row r="148" spans="1:10" x14ac:dyDescent="0.25">
      <c r="A148" s="4" t="s">
        <v>311</v>
      </c>
      <c r="B148" s="4" t="s">
        <v>312</v>
      </c>
      <c r="C148" s="4" t="s">
        <v>40</v>
      </c>
      <c r="D148" s="4" t="s">
        <v>31</v>
      </c>
      <c r="E148" s="4" t="s">
        <v>30</v>
      </c>
      <c r="F148" s="5">
        <v>10674.95</v>
      </c>
      <c r="G148" s="5">
        <v>3863.94</v>
      </c>
      <c r="H148" s="4">
        <v>5</v>
      </c>
      <c r="I148" s="6">
        <f t="shared" si="8"/>
        <v>53374.75</v>
      </c>
      <c r="J148" s="7">
        <f t="shared" si="9"/>
        <v>36.196328788425234</v>
      </c>
    </row>
    <row r="149" spans="1:10" x14ac:dyDescent="0.25">
      <c r="A149" s="1" t="s">
        <v>313</v>
      </c>
      <c r="B149" s="1" t="s">
        <v>314</v>
      </c>
      <c r="C149" s="1" t="s">
        <v>40</v>
      </c>
      <c r="D149" s="1" t="s">
        <v>27</v>
      </c>
      <c r="E149" s="1" t="s">
        <v>28</v>
      </c>
      <c r="F149" s="8">
        <v>161492.66</v>
      </c>
      <c r="G149" s="8">
        <v>49490.35</v>
      </c>
      <c r="H149" s="1">
        <v>9</v>
      </c>
      <c r="I149" s="9">
        <f t="shared" si="8"/>
        <v>1453433.94</v>
      </c>
      <c r="J149" s="10">
        <f t="shared" si="9"/>
        <v>30.645572374620617</v>
      </c>
    </row>
    <row r="150" spans="1:10" x14ac:dyDescent="0.25">
      <c r="A150" s="4" t="s">
        <v>315</v>
      </c>
      <c r="B150" s="4" t="s">
        <v>316</v>
      </c>
      <c r="C150" s="4" t="s">
        <v>40</v>
      </c>
      <c r="D150" s="4" t="s">
        <v>32</v>
      </c>
      <c r="E150" s="4" t="s">
        <v>30</v>
      </c>
      <c r="F150" s="5">
        <v>6576.93</v>
      </c>
      <c r="G150" s="5">
        <v>2154.63</v>
      </c>
      <c r="H150" s="4">
        <v>4</v>
      </c>
      <c r="I150" s="6">
        <f t="shared" si="8"/>
        <v>26307.72</v>
      </c>
      <c r="J150" s="7">
        <f t="shared" si="9"/>
        <v>32.760421655696504</v>
      </c>
    </row>
    <row r="151" spans="1:10" x14ac:dyDescent="0.25">
      <c r="A151" s="1" t="s">
        <v>317</v>
      </c>
      <c r="B151" s="1" t="s">
        <v>53</v>
      </c>
      <c r="C151" s="1" t="s">
        <v>40</v>
      </c>
      <c r="D151" s="1" t="s">
        <v>29</v>
      </c>
      <c r="E151" s="1" t="s">
        <v>30</v>
      </c>
      <c r="F151" s="8">
        <v>4818.18</v>
      </c>
      <c r="G151" s="8">
        <v>1889.19</v>
      </c>
      <c r="H151" s="1">
        <v>1</v>
      </c>
      <c r="I151" s="9">
        <f t="shared" si="8"/>
        <v>4818.18</v>
      </c>
      <c r="J151" s="10">
        <f t="shared" si="9"/>
        <v>39.209618569667384</v>
      </c>
    </row>
    <row r="152" spans="1:10" x14ac:dyDescent="0.25">
      <c r="A152" s="4" t="s">
        <v>318</v>
      </c>
      <c r="B152" s="4" t="s">
        <v>319</v>
      </c>
      <c r="C152" s="4" t="s">
        <v>37</v>
      </c>
      <c r="D152" s="4" t="s">
        <v>26</v>
      </c>
      <c r="E152" s="4" t="s">
        <v>23</v>
      </c>
      <c r="F152" s="5">
        <v>218592.98</v>
      </c>
      <c r="G152" s="5">
        <v>49013.96</v>
      </c>
      <c r="H152" s="4">
        <v>8</v>
      </c>
      <c r="I152" s="6">
        <f t="shared" si="8"/>
        <v>1748743.84</v>
      </c>
      <c r="J152" s="7">
        <f t="shared" si="9"/>
        <v>22.422476696186674</v>
      </c>
    </row>
    <row r="153" spans="1:10" x14ac:dyDescent="0.25">
      <c r="A153" s="1" t="s">
        <v>320</v>
      </c>
      <c r="B153" s="1" t="s">
        <v>261</v>
      </c>
      <c r="C153" s="1" t="s">
        <v>39</v>
      </c>
      <c r="D153" s="1" t="s">
        <v>27</v>
      </c>
      <c r="E153" s="1" t="s">
        <v>28</v>
      </c>
      <c r="F153" s="8">
        <v>36186.85</v>
      </c>
      <c r="G153" s="8">
        <v>11296.63</v>
      </c>
      <c r="H153" s="1">
        <v>2</v>
      </c>
      <c r="I153" s="9">
        <f t="shared" si="8"/>
        <v>72373.7</v>
      </c>
      <c r="J153" s="10">
        <f t="shared" si="9"/>
        <v>31.217500279797772</v>
      </c>
    </row>
    <row r="154" spans="1:10" x14ac:dyDescent="0.25">
      <c r="A154" s="4" t="s">
        <v>321</v>
      </c>
      <c r="B154" s="4" t="s">
        <v>322</v>
      </c>
      <c r="C154" s="4" t="s">
        <v>37</v>
      </c>
      <c r="D154" s="4" t="s">
        <v>26</v>
      </c>
      <c r="E154" s="4" t="s">
        <v>23</v>
      </c>
      <c r="F154" s="5">
        <v>49694.91</v>
      </c>
      <c r="G154" s="5">
        <v>14613.77</v>
      </c>
      <c r="H154" s="4">
        <v>2</v>
      </c>
      <c r="I154" s="6">
        <f t="shared" si="8"/>
        <v>99389.82</v>
      </c>
      <c r="J154" s="7">
        <f t="shared" si="9"/>
        <v>29.406975483002178</v>
      </c>
    </row>
    <row r="155" spans="1:10" x14ac:dyDescent="0.25">
      <c r="A155" s="1" t="s">
        <v>323</v>
      </c>
      <c r="B155" s="1" t="s">
        <v>324</v>
      </c>
      <c r="C155" s="1" t="s">
        <v>40</v>
      </c>
      <c r="D155" s="1" t="s">
        <v>29</v>
      </c>
      <c r="E155" s="1" t="s">
        <v>30</v>
      </c>
      <c r="F155" s="8">
        <v>10703.53</v>
      </c>
      <c r="G155" s="8">
        <v>4081.87</v>
      </c>
      <c r="H155" s="1">
        <v>2</v>
      </c>
      <c r="I155" s="9">
        <f t="shared" si="8"/>
        <v>21407.06</v>
      </c>
      <c r="J155" s="10">
        <f t="shared" si="9"/>
        <v>38.135736528042614</v>
      </c>
    </row>
    <row r="156" spans="1:10" x14ac:dyDescent="0.25">
      <c r="A156" s="4" t="s">
        <v>325</v>
      </c>
      <c r="B156" s="4" t="s">
        <v>326</v>
      </c>
      <c r="C156" s="4" t="s">
        <v>37</v>
      </c>
      <c r="D156" s="4" t="s">
        <v>27</v>
      </c>
      <c r="E156" s="4" t="s">
        <v>28</v>
      </c>
      <c r="F156" s="5">
        <v>146963.13</v>
      </c>
      <c r="G156" s="5">
        <v>46638.94</v>
      </c>
      <c r="H156" s="4">
        <v>9</v>
      </c>
      <c r="I156" s="6">
        <f t="shared" si="8"/>
        <v>1322668.17</v>
      </c>
      <c r="J156" s="7">
        <f t="shared" si="9"/>
        <v>31.735129756694757</v>
      </c>
    </row>
    <row r="157" spans="1:10" x14ac:dyDescent="0.25">
      <c r="A157" s="1" t="s">
        <v>327</v>
      </c>
      <c r="B157" s="1" t="s">
        <v>328</v>
      </c>
      <c r="C157" s="1" t="s">
        <v>38</v>
      </c>
      <c r="D157" s="1" t="s">
        <v>24</v>
      </c>
      <c r="E157" s="1" t="s">
        <v>23</v>
      </c>
      <c r="F157" s="8">
        <v>268438.55</v>
      </c>
      <c r="G157" s="8">
        <v>70145.179999999993</v>
      </c>
      <c r="H157" s="1">
        <v>7</v>
      </c>
      <c r="I157" s="9">
        <f t="shared" si="8"/>
        <v>1879069.8499999999</v>
      </c>
      <c r="J157" s="10">
        <f t="shared" si="9"/>
        <v>26.130814668757523</v>
      </c>
    </row>
    <row r="158" spans="1:10" x14ac:dyDescent="0.25">
      <c r="A158" s="4" t="s">
        <v>329</v>
      </c>
      <c r="B158" s="4" t="s">
        <v>330</v>
      </c>
      <c r="C158" s="4" t="s">
        <v>38</v>
      </c>
      <c r="D158" s="4" t="s">
        <v>26</v>
      </c>
      <c r="E158" s="4" t="s">
        <v>23</v>
      </c>
      <c r="F158" s="5">
        <v>135085.6</v>
      </c>
      <c r="G158" s="5">
        <v>30071.94</v>
      </c>
      <c r="H158" s="4">
        <v>5</v>
      </c>
      <c r="I158" s="6">
        <f t="shared" si="8"/>
        <v>675428</v>
      </c>
      <c r="J158" s="7">
        <f t="shared" si="9"/>
        <v>22.261395737221434</v>
      </c>
    </row>
    <row r="159" spans="1:10" x14ac:dyDescent="0.25">
      <c r="A159" s="1" t="s">
        <v>331</v>
      </c>
      <c r="B159" s="1" t="s">
        <v>332</v>
      </c>
      <c r="C159" s="1" t="s">
        <v>40</v>
      </c>
      <c r="D159" s="1" t="s">
        <v>32</v>
      </c>
      <c r="E159" s="1" t="s">
        <v>30</v>
      </c>
      <c r="F159" s="8">
        <v>8875.24</v>
      </c>
      <c r="G159" s="8">
        <v>3235.82</v>
      </c>
      <c r="H159" s="1">
        <v>6</v>
      </c>
      <c r="I159" s="9">
        <f t="shared" si="8"/>
        <v>53251.44</v>
      </c>
      <c r="J159" s="10">
        <f t="shared" si="9"/>
        <v>36.458957729593791</v>
      </c>
    </row>
    <row r="160" spans="1:10" x14ac:dyDescent="0.25">
      <c r="A160" s="4" t="s">
        <v>333</v>
      </c>
      <c r="B160" s="4" t="s">
        <v>334</v>
      </c>
      <c r="C160" s="4" t="s">
        <v>40</v>
      </c>
      <c r="D160" s="4" t="s">
        <v>26</v>
      </c>
      <c r="E160" s="4" t="s">
        <v>23</v>
      </c>
      <c r="F160" s="5">
        <v>70126.039999999994</v>
      </c>
      <c r="G160" s="5">
        <v>20409.87</v>
      </c>
      <c r="H160" s="4">
        <v>3</v>
      </c>
      <c r="I160" s="6">
        <f t="shared" si="8"/>
        <v>210378.12</v>
      </c>
      <c r="J160" s="7">
        <f t="shared" si="9"/>
        <v>29.104552317512866</v>
      </c>
    </row>
    <row r="161" spans="1:10" x14ac:dyDescent="0.25">
      <c r="A161" s="1" t="s">
        <v>335</v>
      </c>
      <c r="B161" s="1" t="s">
        <v>160</v>
      </c>
      <c r="C161" s="1" t="s">
        <v>40</v>
      </c>
      <c r="D161" s="1" t="s">
        <v>25</v>
      </c>
      <c r="E161" s="1" t="s">
        <v>23</v>
      </c>
      <c r="F161" s="8">
        <v>173210.53</v>
      </c>
      <c r="G161" s="8">
        <v>42173.93</v>
      </c>
      <c r="H161" s="1">
        <v>8</v>
      </c>
      <c r="I161" s="9">
        <f t="shared" si="8"/>
        <v>1385684.24</v>
      </c>
      <c r="J161" s="10">
        <f t="shared" si="9"/>
        <v>24.348363809059414</v>
      </c>
    </row>
    <row r="162" spans="1:10" x14ac:dyDescent="0.25">
      <c r="A162" s="4" t="s">
        <v>336</v>
      </c>
      <c r="B162" s="4" t="s">
        <v>150</v>
      </c>
      <c r="C162" s="4" t="s">
        <v>40</v>
      </c>
      <c r="D162" s="4" t="s">
        <v>31</v>
      </c>
      <c r="E162" s="4" t="s">
        <v>30</v>
      </c>
      <c r="F162" s="5">
        <v>15217.05</v>
      </c>
      <c r="G162" s="5">
        <v>5452.03</v>
      </c>
      <c r="H162" s="4">
        <v>8</v>
      </c>
      <c r="I162" s="6">
        <f t="shared" ref="I162:I193" si="10">F162*H162</f>
        <v>121736.4</v>
      </c>
      <c r="J162" s="7">
        <f t="shared" ref="J162:J193" si="11">IF(F162=0,0,G162/F162*100)</f>
        <v>35.828429294771325</v>
      </c>
    </row>
    <row r="163" spans="1:10" x14ac:dyDescent="0.25">
      <c r="A163" s="1" t="s">
        <v>337</v>
      </c>
      <c r="B163" s="1" t="s">
        <v>300</v>
      </c>
      <c r="C163" s="1" t="s">
        <v>37</v>
      </c>
      <c r="D163" s="1" t="s">
        <v>26</v>
      </c>
      <c r="E163" s="1" t="s">
        <v>23</v>
      </c>
      <c r="F163" s="8">
        <v>49417.3</v>
      </c>
      <c r="G163" s="8">
        <v>12867.58</v>
      </c>
      <c r="H163" s="1">
        <v>2</v>
      </c>
      <c r="I163" s="9">
        <f t="shared" si="10"/>
        <v>98834.6</v>
      </c>
      <c r="J163" s="10">
        <f t="shared" si="11"/>
        <v>26.038614007645094</v>
      </c>
    </row>
    <row r="164" spans="1:10" x14ac:dyDescent="0.25">
      <c r="A164" s="4" t="s">
        <v>338</v>
      </c>
      <c r="B164" s="4" t="s">
        <v>49</v>
      </c>
      <c r="C164" s="4" t="s">
        <v>40</v>
      </c>
      <c r="D164" s="4" t="s">
        <v>29</v>
      </c>
      <c r="E164" s="4" t="s">
        <v>30</v>
      </c>
      <c r="F164" s="5">
        <v>24784.18</v>
      </c>
      <c r="G164" s="5">
        <v>9104.24</v>
      </c>
      <c r="H164" s="4">
        <v>5</v>
      </c>
      <c r="I164" s="6">
        <f t="shared" si="10"/>
        <v>123920.9</v>
      </c>
      <c r="J164" s="7">
        <f t="shared" si="11"/>
        <v>36.734077948110446</v>
      </c>
    </row>
    <row r="165" spans="1:10" x14ac:dyDescent="0.25">
      <c r="A165" s="1" t="s">
        <v>339</v>
      </c>
      <c r="B165" s="1" t="s">
        <v>340</v>
      </c>
      <c r="C165" s="1" t="s">
        <v>37</v>
      </c>
      <c r="D165" s="1" t="s">
        <v>24</v>
      </c>
      <c r="E165" s="1" t="s">
        <v>23</v>
      </c>
      <c r="F165" s="8">
        <v>136678.20000000001</v>
      </c>
      <c r="G165" s="8">
        <v>36871.67</v>
      </c>
      <c r="H165" s="1">
        <v>4</v>
      </c>
      <c r="I165" s="9">
        <f t="shared" si="10"/>
        <v>546712.80000000005</v>
      </c>
      <c r="J165" s="10">
        <f t="shared" si="11"/>
        <v>26.976994136592371</v>
      </c>
    </row>
    <row r="166" spans="1:10" x14ac:dyDescent="0.25">
      <c r="A166" s="4" t="s">
        <v>341</v>
      </c>
      <c r="B166" s="4" t="s">
        <v>342</v>
      </c>
      <c r="C166" s="4" t="s">
        <v>37</v>
      </c>
      <c r="D166" s="4" t="s">
        <v>31</v>
      </c>
      <c r="E166" s="4" t="s">
        <v>30</v>
      </c>
      <c r="F166" s="5">
        <v>2191.1799999999998</v>
      </c>
      <c r="G166" s="5">
        <v>785.32</v>
      </c>
      <c r="H166" s="4">
        <v>1</v>
      </c>
      <c r="I166" s="6">
        <f t="shared" si="10"/>
        <v>2191.1799999999998</v>
      </c>
      <c r="J166" s="7">
        <f t="shared" si="11"/>
        <v>35.840049653611302</v>
      </c>
    </row>
    <row r="167" spans="1:10" x14ac:dyDescent="0.25">
      <c r="A167" s="1" t="s">
        <v>343</v>
      </c>
      <c r="B167" s="1" t="s">
        <v>344</v>
      </c>
      <c r="C167" s="1" t="s">
        <v>37</v>
      </c>
      <c r="D167" s="1" t="s">
        <v>22</v>
      </c>
      <c r="E167" s="1" t="s">
        <v>23</v>
      </c>
      <c r="F167" s="8">
        <v>786775.82</v>
      </c>
      <c r="G167" s="8">
        <v>203313.56</v>
      </c>
      <c r="H167" s="1">
        <v>10</v>
      </c>
      <c r="I167" s="9">
        <f t="shared" si="10"/>
        <v>7867758.1999999993</v>
      </c>
      <c r="J167" s="10">
        <f t="shared" si="11"/>
        <v>25.841358469811642</v>
      </c>
    </row>
    <row r="168" spans="1:10" x14ac:dyDescent="0.25">
      <c r="A168" s="4" t="s">
        <v>345</v>
      </c>
      <c r="B168" s="4" t="s">
        <v>106</v>
      </c>
      <c r="C168" s="4" t="s">
        <v>39</v>
      </c>
      <c r="D168" s="4" t="s">
        <v>32</v>
      </c>
      <c r="E168" s="4" t="s">
        <v>30</v>
      </c>
      <c r="F168" s="5">
        <v>6163.94</v>
      </c>
      <c r="G168" s="5">
        <v>2338.0300000000002</v>
      </c>
      <c r="H168" s="4">
        <v>4</v>
      </c>
      <c r="I168" s="6">
        <f t="shared" si="10"/>
        <v>24655.759999999998</v>
      </c>
      <c r="J168" s="7">
        <f t="shared" si="11"/>
        <v>37.930771551961904</v>
      </c>
    </row>
    <row r="169" spans="1:10" x14ac:dyDescent="0.25">
      <c r="A169" s="1" t="s">
        <v>346</v>
      </c>
      <c r="B169" s="1" t="s">
        <v>347</v>
      </c>
      <c r="C169" s="1" t="s">
        <v>37</v>
      </c>
      <c r="D169" s="1" t="s">
        <v>24</v>
      </c>
      <c r="E169" s="1" t="s">
        <v>23</v>
      </c>
      <c r="F169" s="8">
        <v>33662.53</v>
      </c>
      <c r="G169" s="8">
        <v>9381.65</v>
      </c>
      <c r="H169" s="1">
        <v>1</v>
      </c>
      <c r="I169" s="9">
        <f t="shared" si="10"/>
        <v>33662.53</v>
      </c>
      <c r="J169" s="10">
        <f t="shared" si="11"/>
        <v>27.869711516038752</v>
      </c>
    </row>
    <row r="170" spans="1:10" x14ac:dyDescent="0.25">
      <c r="A170" s="4" t="s">
        <v>348</v>
      </c>
      <c r="B170" s="4" t="s">
        <v>349</v>
      </c>
      <c r="C170" s="4" t="s">
        <v>39</v>
      </c>
      <c r="D170" s="4" t="s">
        <v>24</v>
      </c>
      <c r="E170" s="4" t="s">
        <v>23</v>
      </c>
      <c r="F170" s="5">
        <v>168935.17</v>
      </c>
      <c r="G170" s="5">
        <v>46655.03</v>
      </c>
      <c r="H170" s="4">
        <v>5</v>
      </c>
      <c r="I170" s="6">
        <f t="shared" si="10"/>
        <v>844675.85000000009</v>
      </c>
      <c r="J170" s="7">
        <f t="shared" si="11"/>
        <v>27.617120816227903</v>
      </c>
    </row>
    <row r="171" spans="1:10" x14ac:dyDescent="0.25">
      <c r="A171" s="1" t="s">
        <v>350</v>
      </c>
      <c r="B171" s="1" t="s">
        <v>349</v>
      </c>
      <c r="C171" s="1" t="s">
        <v>39</v>
      </c>
      <c r="D171" s="1" t="s">
        <v>32</v>
      </c>
      <c r="E171" s="1" t="s">
        <v>30</v>
      </c>
      <c r="F171" s="8">
        <v>13504.85</v>
      </c>
      <c r="G171" s="8">
        <v>4884.33</v>
      </c>
      <c r="H171" s="1">
        <v>9</v>
      </c>
      <c r="I171" s="9">
        <f t="shared" si="10"/>
        <v>121543.65000000001</v>
      </c>
      <c r="J171" s="10">
        <f t="shared" si="11"/>
        <v>36.167228810390341</v>
      </c>
    </row>
    <row r="172" spans="1:10" x14ac:dyDescent="0.25">
      <c r="A172" s="4" t="s">
        <v>351</v>
      </c>
      <c r="B172" s="4" t="s">
        <v>352</v>
      </c>
      <c r="C172" s="4" t="s">
        <v>38</v>
      </c>
      <c r="D172" s="4" t="s">
        <v>27</v>
      </c>
      <c r="E172" s="4" t="s">
        <v>28</v>
      </c>
      <c r="F172" s="5">
        <v>94438.07</v>
      </c>
      <c r="G172" s="5">
        <v>27532.29</v>
      </c>
      <c r="H172" s="4">
        <v>5</v>
      </c>
      <c r="I172" s="6">
        <f t="shared" si="10"/>
        <v>472190.35000000003</v>
      </c>
      <c r="J172" s="7">
        <f t="shared" si="11"/>
        <v>29.153804180877479</v>
      </c>
    </row>
    <row r="173" spans="1:10" x14ac:dyDescent="0.25">
      <c r="A173" s="1" t="s">
        <v>353</v>
      </c>
      <c r="B173" s="1" t="s">
        <v>354</v>
      </c>
      <c r="C173" s="1" t="s">
        <v>40</v>
      </c>
      <c r="D173" s="1" t="s">
        <v>24</v>
      </c>
      <c r="E173" s="1" t="s">
        <v>23</v>
      </c>
      <c r="F173" s="8">
        <v>110337.18</v>
      </c>
      <c r="G173" s="8">
        <v>26853.69</v>
      </c>
      <c r="H173" s="1">
        <v>3</v>
      </c>
      <c r="I173" s="9">
        <f t="shared" si="10"/>
        <v>331011.53999999998</v>
      </c>
      <c r="J173" s="10">
        <f t="shared" si="11"/>
        <v>24.337843327154093</v>
      </c>
    </row>
    <row r="174" spans="1:10" x14ac:dyDescent="0.25">
      <c r="A174" s="4" t="s">
        <v>355</v>
      </c>
      <c r="B174" s="4" t="s">
        <v>356</v>
      </c>
      <c r="C174" s="4" t="s">
        <v>38</v>
      </c>
      <c r="D174" s="4" t="s">
        <v>32</v>
      </c>
      <c r="E174" s="4" t="s">
        <v>30</v>
      </c>
      <c r="F174" s="5">
        <v>3174.41</v>
      </c>
      <c r="G174" s="5">
        <v>1023.34</v>
      </c>
      <c r="H174" s="4">
        <v>2</v>
      </c>
      <c r="I174" s="6">
        <f t="shared" si="10"/>
        <v>6348.82</v>
      </c>
      <c r="J174" s="7">
        <f t="shared" si="11"/>
        <v>32.237171631893801</v>
      </c>
    </row>
    <row r="175" spans="1:10" x14ac:dyDescent="0.25">
      <c r="A175" s="1" t="s">
        <v>357</v>
      </c>
      <c r="B175" s="1" t="s">
        <v>358</v>
      </c>
      <c r="C175" s="1" t="s">
        <v>37</v>
      </c>
      <c r="D175" s="1" t="s">
        <v>32</v>
      </c>
      <c r="E175" s="1" t="s">
        <v>30</v>
      </c>
      <c r="F175" s="8">
        <v>7626.84</v>
      </c>
      <c r="G175" s="8">
        <v>3043.45</v>
      </c>
      <c r="H175" s="1">
        <v>5</v>
      </c>
      <c r="I175" s="9">
        <f t="shared" si="10"/>
        <v>38134.199999999997</v>
      </c>
      <c r="J175" s="10">
        <f t="shared" si="11"/>
        <v>39.90446895437691</v>
      </c>
    </row>
    <row r="176" spans="1:10" x14ac:dyDescent="0.25">
      <c r="A176" s="4" t="s">
        <v>359</v>
      </c>
      <c r="B176" s="4" t="s">
        <v>360</v>
      </c>
      <c r="C176" s="4" t="s">
        <v>37</v>
      </c>
      <c r="D176" s="4" t="s">
        <v>25</v>
      </c>
      <c r="E176" s="4" t="s">
        <v>23</v>
      </c>
      <c r="F176" s="5">
        <v>144800.79</v>
      </c>
      <c r="G176" s="5">
        <v>49288.65</v>
      </c>
      <c r="H176" s="4">
        <v>8</v>
      </c>
      <c r="I176" s="6">
        <f t="shared" si="10"/>
        <v>1158406.32</v>
      </c>
      <c r="J176" s="7">
        <f t="shared" si="11"/>
        <v>34.038937218505502</v>
      </c>
    </row>
    <row r="177" spans="1:10" x14ac:dyDescent="0.25">
      <c r="A177" s="1" t="s">
        <v>361</v>
      </c>
      <c r="B177" s="1" t="s">
        <v>362</v>
      </c>
      <c r="C177" s="1" t="s">
        <v>37</v>
      </c>
      <c r="D177" s="1" t="s">
        <v>25</v>
      </c>
      <c r="E177" s="1" t="s">
        <v>23</v>
      </c>
      <c r="F177" s="8">
        <v>41083.230000000003</v>
      </c>
      <c r="G177" s="8">
        <v>11314.24</v>
      </c>
      <c r="H177" s="1">
        <v>2</v>
      </c>
      <c r="I177" s="9">
        <f t="shared" si="10"/>
        <v>82166.460000000006</v>
      </c>
      <c r="J177" s="10">
        <f t="shared" si="11"/>
        <v>27.539801519987595</v>
      </c>
    </row>
    <row r="178" spans="1:10" x14ac:dyDescent="0.25">
      <c r="A178" s="4" t="s">
        <v>363</v>
      </c>
      <c r="B178" s="4" t="s">
        <v>364</v>
      </c>
      <c r="C178" s="4" t="s">
        <v>37</v>
      </c>
      <c r="D178" s="4" t="s">
        <v>29</v>
      </c>
      <c r="E178" s="4" t="s">
        <v>30</v>
      </c>
      <c r="F178" s="5">
        <v>9279.5499999999993</v>
      </c>
      <c r="G178" s="5">
        <v>4157.01</v>
      </c>
      <c r="H178" s="4">
        <v>2</v>
      </c>
      <c r="I178" s="6">
        <f t="shared" si="10"/>
        <v>18559.099999999999</v>
      </c>
      <c r="J178" s="7">
        <f t="shared" si="11"/>
        <v>44.797538673750346</v>
      </c>
    </row>
    <row r="179" spans="1:10" x14ac:dyDescent="0.25">
      <c r="A179" s="1" t="s">
        <v>365</v>
      </c>
      <c r="B179" s="1" t="s">
        <v>366</v>
      </c>
      <c r="C179" s="1" t="s">
        <v>40</v>
      </c>
      <c r="D179" s="1" t="s">
        <v>24</v>
      </c>
      <c r="E179" s="1" t="s">
        <v>23</v>
      </c>
      <c r="F179" s="8">
        <v>66287.199999999997</v>
      </c>
      <c r="G179" s="8">
        <v>19150.189999999999</v>
      </c>
      <c r="H179" s="1">
        <v>2</v>
      </c>
      <c r="I179" s="9">
        <f t="shared" si="10"/>
        <v>132574.39999999999</v>
      </c>
      <c r="J179" s="10">
        <f t="shared" si="11"/>
        <v>28.889725316501526</v>
      </c>
    </row>
    <row r="180" spans="1:10" x14ac:dyDescent="0.25">
      <c r="A180" s="4" t="s">
        <v>367</v>
      </c>
      <c r="B180" s="4" t="s">
        <v>358</v>
      </c>
      <c r="C180" s="4" t="s">
        <v>39</v>
      </c>
      <c r="D180" s="4" t="s">
        <v>32</v>
      </c>
      <c r="E180" s="4" t="s">
        <v>30</v>
      </c>
      <c r="F180" s="5">
        <v>13281.64</v>
      </c>
      <c r="G180" s="5">
        <v>5391.65</v>
      </c>
      <c r="H180" s="4">
        <v>9</v>
      </c>
      <c r="I180" s="6">
        <f t="shared" si="10"/>
        <v>119534.76</v>
      </c>
      <c r="J180" s="7">
        <f t="shared" si="11"/>
        <v>40.594760887962629</v>
      </c>
    </row>
    <row r="181" spans="1:10" x14ac:dyDescent="0.25">
      <c r="A181" s="1" t="s">
        <v>368</v>
      </c>
      <c r="B181" s="1" t="s">
        <v>194</v>
      </c>
      <c r="C181" s="1" t="s">
        <v>37</v>
      </c>
      <c r="D181" s="1" t="s">
        <v>24</v>
      </c>
      <c r="E181" s="1" t="s">
        <v>23</v>
      </c>
      <c r="F181" s="8">
        <v>286476.52</v>
      </c>
      <c r="G181" s="8">
        <v>83024.850000000006</v>
      </c>
      <c r="H181" s="1">
        <v>8</v>
      </c>
      <c r="I181" s="9">
        <f t="shared" si="10"/>
        <v>2291812.16</v>
      </c>
      <c r="J181" s="10">
        <f t="shared" si="11"/>
        <v>28.981380393757927</v>
      </c>
    </row>
    <row r="182" spans="1:10" x14ac:dyDescent="0.25">
      <c r="A182" s="4" t="s">
        <v>369</v>
      </c>
      <c r="B182" s="4" t="s">
        <v>73</v>
      </c>
      <c r="C182" s="4" t="s">
        <v>37</v>
      </c>
      <c r="D182" s="4" t="s">
        <v>32</v>
      </c>
      <c r="E182" s="4" t="s">
        <v>30</v>
      </c>
      <c r="F182" s="5">
        <v>5932.06</v>
      </c>
      <c r="G182" s="5">
        <v>2496.27</v>
      </c>
      <c r="H182" s="4">
        <v>4</v>
      </c>
      <c r="I182" s="6">
        <f t="shared" si="10"/>
        <v>23728.240000000002</v>
      </c>
      <c r="J182" s="7">
        <f t="shared" si="11"/>
        <v>42.080997157817009</v>
      </c>
    </row>
    <row r="183" spans="1:10" x14ac:dyDescent="0.25">
      <c r="A183" s="1" t="s">
        <v>370</v>
      </c>
      <c r="B183" s="1" t="s">
        <v>371</v>
      </c>
      <c r="C183" s="1" t="s">
        <v>38</v>
      </c>
      <c r="D183" s="1" t="s">
        <v>32</v>
      </c>
      <c r="E183" s="1" t="s">
        <v>30</v>
      </c>
      <c r="F183" s="8">
        <v>14584.58</v>
      </c>
      <c r="G183" s="8">
        <v>5286.41</v>
      </c>
      <c r="H183" s="1">
        <v>9</v>
      </c>
      <c r="I183" s="9">
        <f t="shared" si="10"/>
        <v>131261.22</v>
      </c>
      <c r="J183" s="10">
        <f t="shared" si="11"/>
        <v>36.24657000750107</v>
      </c>
    </row>
    <row r="184" spans="1:10" x14ac:dyDescent="0.25">
      <c r="A184" s="4" t="s">
        <v>372</v>
      </c>
      <c r="B184" s="4" t="s">
        <v>233</v>
      </c>
      <c r="C184" s="4" t="s">
        <v>40</v>
      </c>
      <c r="D184" s="4" t="s">
        <v>31</v>
      </c>
      <c r="E184" s="4" t="s">
        <v>30</v>
      </c>
      <c r="F184" s="5">
        <v>8749.1299999999992</v>
      </c>
      <c r="G184" s="5">
        <v>3327.37</v>
      </c>
      <c r="H184" s="4">
        <v>4</v>
      </c>
      <c r="I184" s="6">
        <f t="shared" si="10"/>
        <v>34996.519999999997</v>
      </c>
      <c r="J184" s="7">
        <f t="shared" si="11"/>
        <v>38.030867069068584</v>
      </c>
    </row>
    <row r="185" spans="1:10" x14ac:dyDescent="0.25">
      <c r="A185" s="1" t="s">
        <v>373</v>
      </c>
      <c r="B185" s="1" t="s">
        <v>81</v>
      </c>
      <c r="C185" s="1" t="s">
        <v>37</v>
      </c>
      <c r="D185" s="1" t="s">
        <v>25</v>
      </c>
      <c r="E185" s="1" t="s">
        <v>23</v>
      </c>
      <c r="F185" s="8">
        <v>218843.73</v>
      </c>
      <c r="G185" s="8">
        <v>51606.94</v>
      </c>
      <c r="H185" s="1">
        <v>10</v>
      </c>
      <c r="I185" s="9">
        <f t="shared" si="10"/>
        <v>2188437.3000000003</v>
      </c>
      <c r="J185" s="10">
        <f t="shared" si="11"/>
        <v>23.581639739004633</v>
      </c>
    </row>
    <row r="186" spans="1:10" x14ac:dyDescent="0.25">
      <c r="A186" s="4" t="s">
        <v>374</v>
      </c>
      <c r="B186" s="4" t="s">
        <v>110</v>
      </c>
      <c r="C186" s="4" t="s">
        <v>39</v>
      </c>
      <c r="D186" s="4" t="s">
        <v>26</v>
      </c>
      <c r="E186" s="4" t="s">
        <v>23</v>
      </c>
      <c r="F186" s="5">
        <v>235260.28</v>
      </c>
      <c r="G186" s="5">
        <v>71117.45</v>
      </c>
      <c r="H186" s="4">
        <v>10</v>
      </c>
      <c r="I186" s="6">
        <f t="shared" si="10"/>
        <v>2352602.7999999998</v>
      </c>
      <c r="J186" s="7">
        <f t="shared" si="11"/>
        <v>30.229263520386869</v>
      </c>
    </row>
    <row r="187" spans="1:10" x14ac:dyDescent="0.25">
      <c r="A187" s="1" t="s">
        <v>375</v>
      </c>
      <c r="B187" s="1" t="s">
        <v>376</v>
      </c>
      <c r="C187" s="1" t="s">
        <v>38</v>
      </c>
      <c r="D187" s="1" t="s">
        <v>25</v>
      </c>
      <c r="E187" s="1" t="s">
        <v>23</v>
      </c>
      <c r="F187" s="8">
        <v>77256.95</v>
      </c>
      <c r="G187" s="8">
        <v>21108.26</v>
      </c>
      <c r="H187" s="1">
        <v>4</v>
      </c>
      <c r="I187" s="9">
        <f t="shared" si="10"/>
        <v>309027.8</v>
      </c>
      <c r="J187" s="10">
        <f t="shared" si="11"/>
        <v>27.322150304924019</v>
      </c>
    </row>
    <row r="188" spans="1:10" x14ac:dyDescent="0.25">
      <c r="A188" s="4" t="s">
        <v>377</v>
      </c>
      <c r="B188" s="4" t="s">
        <v>378</v>
      </c>
      <c r="C188" s="4" t="s">
        <v>38</v>
      </c>
      <c r="D188" s="4" t="s">
        <v>26</v>
      </c>
      <c r="E188" s="4" t="s">
        <v>23</v>
      </c>
      <c r="F188" s="5">
        <v>75603.23</v>
      </c>
      <c r="G188" s="5">
        <v>21203.759999999998</v>
      </c>
      <c r="H188" s="4">
        <v>3</v>
      </c>
      <c r="I188" s="6">
        <f t="shared" si="10"/>
        <v>226809.69</v>
      </c>
      <c r="J188" s="7">
        <f t="shared" si="11"/>
        <v>28.046103321246989</v>
      </c>
    </row>
    <row r="189" spans="1:10" x14ac:dyDescent="0.25">
      <c r="A189" s="1" t="s">
        <v>379</v>
      </c>
      <c r="B189" s="1" t="s">
        <v>380</v>
      </c>
      <c r="C189" s="1" t="s">
        <v>39</v>
      </c>
      <c r="D189" s="1" t="s">
        <v>22</v>
      </c>
      <c r="E189" s="1" t="s">
        <v>23</v>
      </c>
      <c r="F189" s="8">
        <v>203168.71</v>
      </c>
      <c r="G189" s="8">
        <v>60479.82</v>
      </c>
      <c r="H189" s="1">
        <v>3</v>
      </c>
      <c r="I189" s="9">
        <f t="shared" si="10"/>
        <v>609506.13</v>
      </c>
      <c r="J189" s="10">
        <f t="shared" si="11"/>
        <v>29.768274849015874</v>
      </c>
    </row>
    <row r="190" spans="1:10" x14ac:dyDescent="0.25">
      <c r="A190" s="4" t="s">
        <v>381</v>
      </c>
      <c r="B190" s="4" t="s">
        <v>104</v>
      </c>
      <c r="C190" s="4" t="s">
        <v>40</v>
      </c>
      <c r="D190" s="4" t="s">
        <v>32</v>
      </c>
      <c r="E190" s="4" t="s">
        <v>30</v>
      </c>
      <c r="F190" s="5">
        <v>1402.27</v>
      </c>
      <c r="G190" s="5">
        <v>516.29</v>
      </c>
      <c r="H190" s="4">
        <v>1</v>
      </c>
      <c r="I190" s="6">
        <f t="shared" si="10"/>
        <v>1402.27</v>
      </c>
      <c r="J190" s="7">
        <f t="shared" si="11"/>
        <v>36.818159127700085</v>
      </c>
    </row>
    <row r="191" spans="1:10" x14ac:dyDescent="0.25">
      <c r="A191" s="1" t="s">
        <v>382</v>
      </c>
      <c r="B191" s="1" t="s">
        <v>383</v>
      </c>
      <c r="C191" s="1" t="s">
        <v>38</v>
      </c>
      <c r="D191" s="1" t="s">
        <v>24</v>
      </c>
      <c r="E191" s="1" t="s">
        <v>23</v>
      </c>
      <c r="F191" s="8">
        <v>69667.44</v>
      </c>
      <c r="G191" s="8">
        <v>20112.07</v>
      </c>
      <c r="H191" s="1">
        <v>2</v>
      </c>
      <c r="I191" s="9">
        <f t="shared" si="10"/>
        <v>139334.88</v>
      </c>
      <c r="J191" s="10">
        <f t="shared" si="11"/>
        <v>28.868679543844294</v>
      </c>
    </row>
    <row r="192" spans="1:10" x14ac:dyDescent="0.25">
      <c r="A192" s="4" t="s">
        <v>384</v>
      </c>
      <c r="B192" s="4" t="s">
        <v>385</v>
      </c>
      <c r="C192" s="4" t="s">
        <v>37</v>
      </c>
      <c r="D192" s="4" t="s">
        <v>25</v>
      </c>
      <c r="E192" s="4" t="s">
        <v>23</v>
      </c>
      <c r="F192" s="5">
        <v>181734.6</v>
      </c>
      <c r="G192" s="5">
        <v>60398.720000000001</v>
      </c>
      <c r="H192" s="4">
        <v>10</v>
      </c>
      <c r="I192" s="6">
        <f t="shared" si="10"/>
        <v>1817346</v>
      </c>
      <c r="J192" s="7">
        <f t="shared" si="11"/>
        <v>33.234573933637293</v>
      </c>
    </row>
    <row r="193" spans="1:10" x14ac:dyDescent="0.25">
      <c r="A193" s="1" t="s">
        <v>386</v>
      </c>
      <c r="B193" s="1" t="s">
        <v>387</v>
      </c>
      <c r="C193" s="1" t="s">
        <v>40</v>
      </c>
      <c r="D193" s="1" t="s">
        <v>22</v>
      </c>
      <c r="E193" s="1" t="s">
        <v>23</v>
      </c>
      <c r="F193" s="8">
        <v>82478.8</v>
      </c>
      <c r="G193" s="8">
        <v>20389.189999999999</v>
      </c>
      <c r="H193" s="1">
        <v>1</v>
      </c>
      <c r="I193" s="9">
        <f t="shared" si="10"/>
        <v>82478.8</v>
      </c>
      <c r="J193" s="10">
        <f t="shared" si="11"/>
        <v>24.72052212204833</v>
      </c>
    </row>
    <row r="194" spans="1:10" x14ac:dyDescent="0.25">
      <c r="A194" s="4" t="s">
        <v>388</v>
      </c>
      <c r="B194" s="4" t="s">
        <v>389</v>
      </c>
      <c r="C194" s="4" t="s">
        <v>38</v>
      </c>
      <c r="D194" s="4" t="s">
        <v>24</v>
      </c>
      <c r="E194" s="4" t="s">
        <v>23</v>
      </c>
      <c r="F194" s="5">
        <v>291894.46999999997</v>
      </c>
      <c r="G194" s="5">
        <v>75097</v>
      </c>
      <c r="H194" s="4">
        <v>8</v>
      </c>
      <c r="I194" s="6">
        <f t="shared" ref="I194:I225" si="12">F194*H194</f>
        <v>2335155.7599999998</v>
      </c>
      <c r="J194" s="7">
        <f t="shared" ref="J194:J201" si="13">IF(F194=0,0,G194/F194*100)</f>
        <v>25.727448690617539</v>
      </c>
    </row>
    <row r="195" spans="1:10" x14ac:dyDescent="0.25">
      <c r="A195" s="1" t="s">
        <v>390</v>
      </c>
      <c r="B195" s="1" t="s">
        <v>391</v>
      </c>
      <c r="C195" s="1" t="s">
        <v>37</v>
      </c>
      <c r="D195" s="1" t="s">
        <v>26</v>
      </c>
      <c r="E195" s="1" t="s">
        <v>23</v>
      </c>
      <c r="F195" s="8">
        <v>46261.919999999998</v>
      </c>
      <c r="G195" s="8">
        <v>13648.09</v>
      </c>
      <c r="H195" s="1">
        <v>2</v>
      </c>
      <c r="I195" s="9">
        <f t="shared" si="12"/>
        <v>92523.839999999997</v>
      </c>
      <c r="J195" s="10">
        <f t="shared" si="13"/>
        <v>29.501780297921055</v>
      </c>
    </row>
    <row r="196" spans="1:10" x14ac:dyDescent="0.25">
      <c r="A196" s="4" t="s">
        <v>392</v>
      </c>
      <c r="B196" s="4" t="s">
        <v>393</v>
      </c>
      <c r="C196" s="4" t="s">
        <v>38</v>
      </c>
      <c r="D196" s="4" t="s">
        <v>31</v>
      </c>
      <c r="E196" s="4" t="s">
        <v>30</v>
      </c>
      <c r="F196" s="5">
        <v>16017.76</v>
      </c>
      <c r="G196" s="5">
        <v>5990.66</v>
      </c>
      <c r="H196" s="4">
        <v>8</v>
      </c>
      <c r="I196" s="6">
        <f t="shared" si="12"/>
        <v>128142.08</v>
      </c>
      <c r="J196" s="7">
        <f t="shared" si="13"/>
        <v>37.400110876926611</v>
      </c>
    </row>
    <row r="197" spans="1:10" x14ac:dyDescent="0.25">
      <c r="A197" s="1" t="s">
        <v>394</v>
      </c>
      <c r="B197" s="1" t="s">
        <v>395</v>
      </c>
      <c r="C197" s="1" t="s">
        <v>37</v>
      </c>
      <c r="D197" s="1" t="s">
        <v>25</v>
      </c>
      <c r="E197" s="1" t="s">
        <v>23</v>
      </c>
      <c r="F197" s="8">
        <v>138643.54</v>
      </c>
      <c r="G197" s="8">
        <v>37619.35</v>
      </c>
      <c r="H197" s="1">
        <v>7</v>
      </c>
      <c r="I197" s="9">
        <f t="shared" si="12"/>
        <v>970504.78</v>
      </c>
      <c r="J197" s="10">
        <f t="shared" si="13"/>
        <v>27.133864296886816</v>
      </c>
    </row>
    <row r="198" spans="1:10" x14ac:dyDescent="0.25">
      <c r="A198" s="4" t="s">
        <v>396</v>
      </c>
      <c r="B198" s="4" t="s">
        <v>358</v>
      </c>
      <c r="C198" s="4" t="s">
        <v>37</v>
      </c>
      <c r="D198" s="4" t="s">
        <v>29</v>
      </c>
      <c r="E198" s="4" t="s">
        <v>30</v>
      </c>
      <c r="F198" s="5">
        <v>36607.29</v>
      </c>
      <c r="G198" s="5">
        <v>12775.14</v>
      </c>
      <c r="H198" s="4">
        <v>7</v>
      </c>
      <c r="I198" s="6">
        <f t="shared" si="12"/>
        <v>256251.03</v>
      </c>
      <c r="J198" s="7">
        <f t="shared" si="13"/>
        <v>34.897803142488833</v>
      </c>
    </row>
    <row r="199" spans="1:10" x14ac:dyDescent="0.25">
      <c r="A199" s="1" t="s">
        <v>397</v>
      </c>
      <c r="B199" s="1" t="s">
        <v>398</v>
      </c>
      <c r="C199" s="1" t="s">
        <v>40</v>
      </c>
      <c r="D199" s="1" t="s">
        <v>31</v>
      </c>
      <c r="E199" s="1" t="s">
        <v>30</v>
      </c>
      <c r="F199" s="8">
        <v>13088.62</v>
      </c>
      <c r="G199" s="8">
        <v>4739.3500000000004</v>
      </c>
      <c r="H199" s="1">
        <v>6</v>
      </c>
      <c r="I199" s="9">
        <f t="shared" si="12"/>
        <v>78531.72</v>
      </c>
      <c r="J199" s="10">
        <f t="shared" si="13"/>
        <v>36.209699723882274</v>
      </c>
    </row>
    <row r="200" spans="1:10" x14ac:dyDescent="0.25">
      <c r="A200" s="4" t="s">
        <v>399</v>
      </c>
      <c r="B200" s="4" t="s">
        <v>400</v>
      </c>
      <c r="C200" s="4" t="s">
        <v>37</v>
      </c>
      <c r="D200" s="4" t="s">
        <v>24</v>
      </c>
      <c r="E200" s="4" t="s">
        <v>23</v>
      </c>
      <c r="F200" s="5">
        <v>64305.22</v>
      </c>
      <c r="G200" s="5">
        <v>17386.259999999998</v>
      </c>
      <c r="H200" s="4">
        <v>2</v>
      </c>
      <c r="I200" s="6">
        <f t="shared" si="12"/>
        <v>128610.44</v>
      </c>
      <c r="J200" s="7">
        <f t="shared" si="13"/>
        <v>27.037089679500355</v>
      </c>
    </row>
    <row r="201" spans="1:10" x14ac:dyDescent="0.25">
      <c r="A201" s="1" t="s">
        <v>401</v>
      </c>
      <c r="B201" s="1" t="s">
        <v>402</v>
      </c>
      <c r="C201" s="1" t="s">
        <v>38</v>
      </c>
      <c r="D201" s="1" t="s">
        <v>22</v>
      </c>
      <c r="E201" s="1" t="s">
        <v>23</v>
      </c>
      <c r="F201" s="8">
        <v>818493.69</v>
      </c>
      <c r="G201" s="8">
        <v>192467.34</v>
      </c>
      <c r="H201" s="1">
        <v>10</v>
      </c>
      <c r="I201" s="9">
        <f t="shared" si="12"/>
        <v>8184936.8999999994</v>
      </c>
      <c r="J201" s="10">
        <f t="shared" si="13"/>
        <v>23.51482269826662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zoomScale="67" workbookViewId="0">
      <selection activeCell="D22" sqref="D22"/>
    </sheetView>
  </sheetViews>
  <sheetFormatPr defaultRowHeight="15" x14ac:dyDescent="0.25"/>
  <cols>
    <col min="1" max="1" width="11.5703125" bestFit="1" customWidth="1"/>
    <col min="2" max="3" width="17.85546875" bestFit="1" customWidth="1"/>
    <col min="4" max="4" width="21.85546875" bestFit="1" customWidth="1"/>
  </cols>
  <sheetData>
    <row r="1" spans="1:4" ht="18" x14ac:dyDescent="0.25">
      <c r="A1" s="11" t="s">
        <v>0</v>
      </c>
      <c r="B1" s="12"/>
      <c r="C1" s="12"/>
      <c r="D1" s="12"/>
    </row>
    <row r="3" spans="1:4" ht="18" x14ac:dyDescent="0.25">
      <c r="A3" s="13" t="s">
        <v>1</v>
      </c>
      <c r="B3" s="13" t="s">
        <v>2</v>
      </c>
      <c r="C3" s="13" t="s">
        <v>3</v>
      </c>
      <c r="D3" s="13" t="s">
        <v>4</v>
      </c>
    </row>
    <row r="4" spans="1:4" ht="18.75" x14ac:dyDescent="0.3">
      <c r="A4" s="14" t="s">
        <v>5</v>
      </c>
      <c r="B4" s="15">
        <v>2848809.75</v>
      </c>
      <c r="C4" s="15">
        <v>816640.14</v>
      </c>
      <c r="D4" s="16" t="s">
        <v>6</v>
      </c>
    </row>
    <row r="5" spans="1:4" ht="18" x14ac:dyDescent="0.25">
      <c r="A5" s="14" t="s">
        <v>7</v>
      </c>
      <c r="B5" s="15">
        <v>2694859.32</v>
      </c>
      <c r="C5" s="15">
        <v>763059.48</v>
      </c>
      <c r="D5" s="17">
        <f t="shared" ref="D5:D15" si="0">IF(B4=0,0,(B5-B4)/B4*100)</f>
        <v>-5.4040263657480176</v>
      </c>
    </row>
    <row r="6" spans="1:4" ht="18" x14ac:dyDescent="0.25">
      <c r="A6" s="14" t="s">
        <v>8</v>
      </c>
      <c r="B6" s="15">
        <v>1541952.15</v>
      </c>
      <c r="C6" s="15">
        <v>391500.03</v>
      </c>
      <c r="D6" s="17">
        <f t="shared" si="0"/>
        <v>-42.781720049119301</v>
      </c>
    </row>
    <row r="7" spans="1:4" ht="18" x14ac:dyDescent="0.25">
      <c r="A7" s="14" t="s">
        <v>9</v>
      </c>
      <c r="B7" s="15">
        <v>2363676.73</v>
      </c>
      <c r="C7" s="15">
        <v>661176.35</v>
      </c>
      <c r="D7" s="17">
        <f t="shared" si="0"/>
        <v>53.291185462532034</v>
      </c>
    </row>
    <row r="8" spans="1:4" ht="18" x14ac:dyDescent="0.25">
      <c r="A8" s="14" t="s">
        <v>10</v>
      </c>
      <c r="B8" s="15">
        <v>2216284.48</v>
      </c>
      <c r="C8" s="15">
        <v>629330.87</v>
      </c>
      <c r="D8" s="17">
        <f t="shared" si="0"/>
        <v>-6.2357194674417258</v>
      </c>
    </row>
    <row r="9" spans="1:4" ht="18" x14ac:dyDescent="0.25">
      <c r="A9" s="14" t="s">
        <v>11</v>
      </c>
      <c r="B9" s="15">
        <v>895644.35</v>
      </c>
      <c r="C9" s="15">
        <v>278256.64000000001</v>
      </c>
      <c r="D9" s="17">
        <f t="shared" si="0"/>
        <v>-59.588024096978742</v>
      </c>
    </row>
    <row r="10" spans="1:4" ht="18" x14ac:dyDescent="0.25">
      <c r="A10" s="14" t="s">
        <v>12</v>
      </c>
      <c r="B10" s="15">
        <v>2262367.33</v>
      </c>
      <c r="C10" s="15">
        <v>580786.73</v>
      </c>
      <c r="D10" s="17">
        <f t="shared" si="0"/>
        <v>152.59661717287671</v>
      </c>
    </row>
    <row r="11" spans="1:4" ht="18" x14ac:dyDescent="0.25">
      <c r="A11" s="14" t="s">
        <v>13</v>
      </c>
      <c r="B11" s="15">
        <v>2125692.75</v>
      </c>
      <c r="C11" s="15">
        <v>605184.1</v>
      </c>
      <c r="D11" s="17">
        <f t="shared" si="0"/>
        <v>-6.0412196634752533</v>
      </c>
    </row>
    <row r="12" spans="1:4" ht="18" x14ac:dyDescent="0.25">
      <c r="A12" s="14" t="s">
        <v>14</v>
      </c>
      <c r="B12" s="15">
        <v>1395742.97</v>
      </c>
      <c r="C12" s="15">
        <v>383967.35</v>
      </c>
      <c r="D12" s="17">
        <f t="shared" si="0"/>
        <v>-34.33938324341559</v>
      </c>
    </row>
    <row r="13" spans="1:4" ht="18" x14ac:dyDescent="0.25">
      <c r="A13" s="14" t="s">
        <v>15</v>
      </c>
      <c r="B13" s="15">
        <v>4323289.7699999996</v>
      </c>
      <c r="C13" s="15">
        <v>1048132.85</v>
      </c>
      <c r="D13" s="17">
        <f t="shared" si="0"/>
        <v>209.74827478443254</v>
      </c>
    </row>
    <row r="14" spans="1:4" ht="18" x14ac:dyDescent="0.25">
      <c r="A14" s="14" t="s">
        <v>16</v>
      </c>
      <c r="B14" s="15">
        <v>2284094.1</v>
      </c>
      <c r="C14" s="15">
        <v>645203.57999999996</v>
      </c>
      <c r="D14" s="17">
        <f t="shared" si="0"/>
        <v>-47.167684297969217</v>
      </c>
    </row>
    <row r="15" spans="1:4" ht="18" x14ac:dyDescent="0.25">
      <c r="A15" s="14" t="s">
        <v>17</v>
      </c>
      <c r="B15" s="15">
        <v>2124610.67</v>
      </c>
      <c r="C15" s="15">
        <v>593742.03</v>
      </c>
      <c r="D15" s="17">
        <f t="shared" si="0"/>
        <v>-6.9823493699318329</v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topLeftCell="A3" zoomScale="68" workbookViewId="0">
      <selection activeCell="C16" sqref="C16"/>
    </sheetView>
  </sheetViews>
  <sheetFormatPr defaultRowHeight="15" x14ac:dyDescent="0.25"/>
  <cols>
    <col min="1" max="1" width="18.28515625" bestFit="1" customWidth="1"/>
    <col min="2" max="2" width="16.7109375" bestFit="1" customWidth="1"/>
    <col min="3" max="3" width="19.42578125" bestFit="1" customWidth="1"/>
    <col min="4" max="4" width="17.85546875" bestFit="1" customWidth="1"/>
    <col min="5" max="5" width="12.7109375" bestFit="1" customWidth="1"/>
  </cols>
  <sheetData>
    <row r="1" spans="1:5" ht="18" x14ac:dyDescent="0.25">
      <c r="A1" s="11" t="s">
        <v>18</v>
      </c>
      <c r="B1" s="12"/>
      <c r="C1" s="12"/>
      <c r="D1" s="12"/>
      <c r="E1" s="12"/>
    </row>
    <row r="3" spans="1:5" ht="18" x14ac:dyDescent="0.25">
      <c r="A3" s="13" t="s">
        <v>19</v>
      </c>
      <c r="B3" s="13" t="s">
        <v>20</v>
      </c>
      <c r="C3" s="13" t="s">
        <v>2</v>
      </c>
      <c r="D3" s="13" t="s">
        <v>3</v>
      </c>
      <c r="E3" s="13" t="s">
        <v>21</v>
      </c>
    </row>
    <row r="4" spans="1:5" ht="18" x14ac:dyDescent="0.25">
      <c r="A4" s="18" t="s">
        <v>22</v>
      </c>
      <c r="B4" s="19" t="s">
        <v>23</v>
      </c>
      <c r="C4" s="15">
        <v>10296776.810000001</v>
      </c>
      <c r="D4" s="15">
        <v>2545208.83</v>
      </c>
      <c r="E4" s="20">
        <v>136</v>
      </c>
    </row>
    <row r="5" spans="1:5" ht="18" x14ac:dyDescent="0.25">
      <c r="A5" s="18" t="s">
        <v>24</v>
      </c>
      <c r="B5" s="19" t="s">
        <v>23</v>
      </c>
      <c r="C5" s="15">
        <v>6247030.8499999996</v>
      </c>
      <c r="D5" s="15">
        <v>1700519.73</v>
      </c>
      <c r="E5" s="20">
        <v>178</v>
      </c>
    </row>
    <row r="6" spans="1:5" ht="18" x14ac:dyDescent="0.25">
      <c r="A6" s="18" t="s">
        <v>25</v>
      </c>
      <c r="B6" s="19" t="s">
        <v>23</v>
      </c>
      <c r="C6" s="15">
        <v>3531940.44</v>
      </c>
      <c r="D6" s="15">
        <v>1003012.44</v>
      </c>
      <c r="E6" s="20">
        <v>178</v>
      </c>
    </row>
    <row r="7" spans="1:5" ht="18" x14ac:dyDescent="0.25">
      <c r="A7" s="18" t="s">
        <v>26</v>
      </c>
      <c r="B7" s="19" t="s">
        <v>23</v>
      </c>
      <c r="C7" s="15">
        <v>3060493.52</v>
      </c>
      <c r="D7" s="15">
        <v>800305.61</v>
      </c>
      <c r="E7" s="20">
        <v>122</v>
      </c>
    </row>
    <row r="8" spans="1:5" ht="18" x14ac:dyDescent="0.25">
      <c r="A8" s="18" t="s">
        <v>27</v>
      </c>
      <c r="B8" s="19" t="s">
        <v>28</v>
      </c>
      <c r="C8" s="15">
        <v>2972515.95</v>
      </c>
      <c r="D8" s="15">
        <v>976929.27</v>
      </c>
      <c r="E8" s="20">
        <v>169</v>
      </c>
    </row>
    <row r="9" spans="1:5" ht="18" x14ac:dyDescent="0.25">
      <c r="A9" s="18" t="s">
        <v>29</v>
      </c>
      <c r="B9" s="19" t="s">
        <v>30</v>
      </c>
      <c r="C9" s="15">
        <v>572290.97</v>
      </c>
      <c r="D9" s="15">
        <v>220737.43</v>
      </c>
      <c r="E9" s="20">
        <v>115</v>
      </c>
    </row>
    <row r="10" spans="1:5" ht="18" x14ac:dyDescent="0.25">
      <c r="A10" s="18" t="s">
        <v>31</v>
      </c>
      <c r="B10" s="19" t="s">
        <v>30</v>
      </c>
      <c r="C10" s="15">
        <v>236440.76</v>
      </c>
      <c r="D10" s="15">
        <v>89874.86</v>
      </c>
      <c r="E10" s="20">
        <v>117</v>
      </c>
    </row>
    <row r="11" spans="1:5" ht="18" x14ac:dyDescent="0.25">
      <c r="A11" s="18" t="s">
        <v>32</v>
      </c>
      <c r="B11" s="19" t="s">
        <v>30</v>
      </c>
      <c r="C11" s="15">
        <v>159535.07</v>
      </c>
      <c r="D11" s="15">
        <v>60391.98</v>
      </c>
      <c r="E11" s="20">
        <v>106</v>
      </c>
    </row>
    <row r="12" spans="1:5" ht="18.75" x14ac:dyDescent="0.3">
      <c r="A12" s="21" t="s">
        <v>33</v>
      </c>
      <c r="B12" s="16"/>
      <c r="C12" s="22">
        <f>SUM(C4:C11)</f>
        <v>27077024.370000001</v>
      </c>
      <c r="D12" s="22">
        <f>SUM(D4:D11)</f>
        <v>7396980.1500000013</v>
      </c>
      <c r="E12" s="23">
        <f>SUM(E4:E11)</f>
        <v>1121</v>
      </c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tabSelected="1" zoomScale="60" workbookViewId="0">
      <selection activeCell="D13" sqref="D13"/>
    </sheetView>
  </sheetViews>
  <sheetFormatPr defaultRowHeight="15" x14ac:dyDescent="0.25"/>
  <cols>
    <col min="1" max="1" width="14" customWidth="1"/>
    <col min="2" max="2" width="24" bestFit="1" customWidth="1"/>
    <col min="3" max="3" width="22" bestFit="1" customWidth="1"/>
    <col min="4" max="4" width="15.85546875" bestFit="1" customWidth="1"/>
    <col min="5" max="5" width="27.28515625" bestFit="1" customWidth="1"/>
  </cols>
  <sheetData>
    <row r="1" spans="1:5" ht="23.25" x14ac:dyDescent="0.35">
      <c r="A1" s="24" t="s">
        <v>34</v>
      </c>
      <c r="B1" s="25"/>
      <c r="C1" s="25"/>
      <c r="D1" s="25"/>
      <c r="E1" s="25"/>
    </row>
    <row r="2" spans="1:5" ht="23.25" x14ac:dyDescent="0.35">
      <c r="A2" s="26"/>
      <c r="B2" s="26"/>
      <c r="C2" s="26"/>
      <c r="D2" s="26"/>
      <c r="E2" s="26"/>
    </row>
    <row r="3" spans="1:5" ht="23.25" x14ac:dyDescent="0.35">
      <c r="A3" s="27" t="s">
        <v>35</v>
      </c>
      <c r="B3" s="27" t="s">
        <v>2</v>
      </c>
      <c r="C3" s="27" t="s">
        <v>3</v>
      </c>
      <c r="D3" s="27" t="s">
        <v>21</v>
      </c>
      <c r="E3" s="27" t="s">
        <v>36</v>
      </c>
    </row>
    <row r="4" spans="1:5" ht="23.25" x14ac:dyDescent="0.35">
      <c r="A4" s="28" t="s">
        <v>37</v>
      </c>
      <c r="B4" s="29">
        <v>8934192.6500000004</v>
      </c>
      <c r="C4" s="29">
        <v>2468893.59</v>
      </c>
      <c r="D4" s="30">
        <v>348</v>
      </c>
      <c r="E4" s="31">
        <f>C4/B4*100</f>
        <v>27.634210350277144</v>
      </c>
    </row>
    <row r="5" spans="1:5" ht="23.25" x14ac:dyDescent="0.35">
      <c r="A5" s="28" t="s">
        <v>38</v>
      </c>
      <c r="B5" s="29">
        <v>6019208.6399999997</v>
      </c>
      <c r="C5" s="29">
        <v>1633992.34</v>
      </c>
      <c r="D5" s="30">
        <v>243</v>
      </c>
      <c r="E5" s="31">
        <f>C5/B5*100</f>
        <v>27.146298421049586</v>
      </c>
    </row>
    <row r="6" spans="1:5" ht="23.25" x14ac:dyDescent="0.35">
      <c r="A6" s="28" t="s">
        <v>39</v>
      </c>
      <c r="B6" s="29">
        <v>7008643.7999999998</v>
      </c>
      <c r="C6" s="29">
        <v>1905771.75</v>
      </c>
      <c r="D6" s="30">
        <v>270</v>
      </c>
      <c r="E6" s="31">
        <f>C6/B6*100</f>
        <v>27.191733584748594</v>
      </c>
    </row>
    <row r="7" spans="1:5" ht="23.25" x14ac:dyDescent="0.35">
      <c r="A7" s="28" t="s">
        <v>40</v>
      </c>
      <c r="B7" s="29">
        <v>5114979.28</v>
      </c>
      <c r="C7" s="29">
        <v>1388322.47</v>
      </c>
      <c r="D7" s="30">
        <v>260</v>
      </c>
      <c r="E7" s="31">
        <f>C7/B7*100</f>
        <v>27.142289225460946</v>
      </c>
    </row>
    <row r="8" spans="1:5" ht="23.25" x14ac:dyDescent="0.35">
      <c r="A8" s="32" t="s">
        <v>33</v>
      </c>
      <c r="B8" s="33">
        <f>SUM(B4:B7)</f>
        <v>27077024.370000001</v>
      </c>
      <c r="C8" s="33">
        <f>SUM(C4:C7)</f>
        <v>7396980.1499999994</v>
      </c>
      <c r="D8" s="33">
        <f>SUM(D4:D7)</f>
        <v>1121</v>
      </c>
      <c r="E8" s="34">
        <f>C8/B8*100</f>
        <v>27.318290403414807</v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Monthly_Trend</vt:lpstr>
      <vt:lpstr>Pivot_Product</vt:lpstr>
      <vt:lpstr>Pivot_Region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Jha</cp:lastModifiedBy>
  <dcterms:created xsi:type="dcterms:W3CDTF">2026-06-07T06:11:22Z</dcterms:created>
  <dcterms:modified xsi:type="dcterms:W3CDTF">2026-06-07T08:37:41Z</dcterms:modified>
</cp:coreProperties>
</file>